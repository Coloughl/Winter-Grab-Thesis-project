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0" codeName="{E5D1E7B1-6628-F0F0-D09B-76B25B5F3CD3}"/>
  <workbookPr codeName="ThisWorkbook"/>
  <mc:AlternateContent xmlns:mc="http://schemas.openxmlformats.org/markup-compatibility/2006">
    <mc:Choice Requires="x15">
      <x15ac:absPath xmlns:x15ac="http://schemas.microsoft.com/office/spreadsheetml/2010/11/ac" url="/Users/tjvickma-adm/Downloads/"/>
    </mc:Choice>
  </mc:AlternateContent>
  <xr:revisionPtr revIDLastSave="0" documentId="13_ncr:1_{B27EDEB3-7A4C-6941-B1EC-395CD59F91D6}" xr6:coauthVersionLast="47" xr6:coauthVersionMax="47" xr10:uidLastSave="{00000000-0000-0000-0000-000000000000}"/>
  <bookViews>
    <workbookView xWindow="0" yWindow="500" windowWidth="38000" windowHeight="20700" xr2:uid="{00000000-000D-0000-FFFF-FFFF00000000}"/>
  </bookViews>
  <sheets>
    <sheet name="90-4 for R&amp;R Budget" sheetId="1" r:id="rId1"/>
    <sheet name="Read Me" sheetId="2" r:id="rId2"/>
    <sheet name="FringeTable" sheetId="3" r:id="rId3"/>
    <sheet name="Notice" sheetId="4" r:id="rId4"/>
    <sheet name="dropdowns" sheetId="5" state="hidden" r:id="rId5"/>
  </sheets>
  <definedNames>
    <definedName name="_xleta.IF">#NAME?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0" roundtripDataChecksum="0AYO1N2UFzyzEX3ODjJzH8GteldjeVQqDXHzMLujA7w="/>
    </ext>
  </extLst>
</workbook>
</file>

<file path=xl/calcChain.xml><?xml version="1.0" encoding="utf-8"?>
<calcChain xmlns="http://schemas.openxmlformats.org/spreadsheetml/2006/main">
  <c r="G12" i="1" l="1"/>
  <c r="E11" i="1"/>
  <c r="B15" i="3"/>
  <c r="B14" i="3"/>
  <c r="B13" i="3"/>
  <c r="B12" i="3"/>
  <c r="B11" i="3"/>
  <c r="B10" i="3"/>
  <c r="B9" i="3"/>
  <c r="B8" i="3"/>
  <c r="B7" i="3"/>
  <c r="B6" i="3"/>
  <c r="B5" i="3"/>
  <c r="B4" i="3"/>
  <c r="AD79" i="1"/>
  <c r="AC79" i="1"/>
  <c r="N70" i="1"/>
  <c r="AD69" i="1"/>
  <c r="AC69" i="1"/>
  <c r="AD68" i="1"/>
  <c r="AC68" i="1"/>
  <c r="AD67" i="1"/>
  <c r="AC67" i="1"/>
  <c r="AD66" i="1"/>
  <c r="AC66" i="1"/>
  <c r="AD65" i="1"/>
  <c r="AC65" i="1"/>
  <c r="AD64" i="1"/>
  <c r="AC64" i="1"/>
  <c r="AD63" i="1"/>
  <c r="AC63" i="1"/>
  <c r="T62" i="1"/>
  <c r="S62" i="1"/>
  <c r="N62" i="1"/>
  <c r="M62" i="1"/>
  <c r="H62" i="1"/>
  <c r="AD62" i="1" s="1"/>
  <c r="G62" i="1"/>
  <c r="AC62" i="1" s="1"/>
  <c r="AC61" i="1"/>
  <c r="T61" i="1"/>
  <c r="S61" i="1"/>
  <c r="N61" i="1"/>
  <c r="M61" i="1"/>
  <c r="H61" i="1"/>
  <c r="AD61" i="1" s="1"/>
  <c r="G61" i="1"/>
  <c r="T60" i="1"/>
  <c r="S60" i="1"/>
  <c r="N60" i="1"/>
  <c r="M60" i="1"/>
  <c r="H60" i="1"/>
  <c r="AD60" i="1" s="1"/>
  <c r="G60" i="1"/>
  <c r="AC60" i="1" s="1"/>
  <c r="AC59" i="1"/>
  <c r="Z59" i="1"/>
  <c r="Y59" i="1"/>
  <c r="T59" i="1"/>
  <c r="S59" i="1"/>
  <c r="N59" i="1"/>
  <c r="AD59" i="1" s="1"/>
  <c r="M59" i="1"/>
  <c r="H59" i="1"/>
  <c r="G59" i="1"/>
  <c r="Z58" i="1"/>
  <c r="Y58" i="1"/>
  <c r="T58" i="1"/>
  <c r="S58" i="1"/>
  <c r="N58" i="1"/>
  <c r="M58" i="1"/>
  <c r="AC58" i="1" s="1"/>
  <c r="H58" i="1"/>
  <c r="AD58" i="1" s="1"/>
  <c r="G58" i="1"/>
  <c r="Z57" i="1"/>
  <c r="AD57" i="1" s="1"/>
  <c r="Y57" i="1"/>
  <c r="T57" i="1"/>
  <c r="S57" i="1"/>
  <c r="N57" i="1"/>
  <c r="M57" i="1"/>
  <c r="AC57" i="1" s="1"/>
  <c r="H57" i="1"/>
  <c r="G57" i="1"/>
  <c r="Z55" i="1"/>
  <c r="Z70" i="1" s="1"/>
  <c r="Y55" i="1"/>
  <c r="Y70" i="1" s="1"/>
  <c r="T55" i="1"/>
  <c r="T70" i="1" s="1"/>
  <c r="S55" i="1"/>
  <c r="S70" i="1" s="1"/>
  <c r="N55" i="1"/>
  <c r="M55" i="1"/>
  <c r="M70" i="1" s="1"/>
  <c r="H55" i="1"/>
  <c r="H70" i="1" s="1"/>
  <c r="AD70" i="1" s="1"/>
  <c r="G55" i="1"/>
  <c r="G70" i="1" s="1"/>
  <c r="AD54" i="1"/>
  <c r="AC54" i="1"/>
  <c r="AD53" i="1"/>
  <c r="AC53" i="1"/>
  <c r="AD52" i="1"/>
  <c r="AC52" i="1"/>
  <c r="AD51" i="1"/>
  <c r="AC51" i="1"/>
  <c r="AC49" i="1"/>
  <c r="Z49" i="1"/>
  <c r="Y49" i="1"/>
  <c r="T49" i="1"/>
  <c r="S49" i="1"/>
  <c r="N49" i="1"/>
  <c r="AD49" i="1" s="1"/>
  <c r="M49" i="1"/>
  <c r="H49" i="1"/>
  <c r="G49" i="1"/>
  <c r="AD48" i="1"/>
  <c r="AC48" i="1"/>
  <c r="AD47" i="1"/>
  <c r="AC47" i="1"/>
  <c r="AD46" i="1"/>
  <c r="AC46" i="1"/>
  <c r="AD45" i="1"/>
  <c r="AC45" i="1"/>
  <c r="AD44" i="1"/>
  <c r="AC44" i="1"/>
  <c r="Z42" i="1"/>
  <c r="AD42" i="1" s="1"/>
  <c r="Y42" i="1"/>
  <c r="T42" i="1"/>
  <c r="S42" i="1"/>
  <c r="N42" i="1"/>
  <c r="M42" i="1"/>
  <c r="H42" i="1"/>
  <c r="G42" i="1"/>
  <c r="AC42" i="1" s="1"/>
  <c r="AD41" i="1"/>
  <c r="AC41" i="1"/>
  <c r="AD40" i="1"/>
  <c r="AC40" i="1"/>
  <c r="Z38" i="1"/>
  <c r="Y38" i="1"/>
  <c r="T38" i="1"/>
  <c r="AD38" i="1" s="1"/>
  <c r="S38" i="1"/>
  <c r="N38" i="1"/>
  <c r="M38" i="1"/>
  <c r="H38" i="1"/>
  <c r="G38" i="1"/>
  <c r="AC38" i="1" s="1"/>
  <c r="AD37" i="1"/>
  <c r="AC37" i="1"/>
  <c r="AD36" i="1"/>
  <c r="AC36" i="1"/>
  <c r="AD35" i="1"/>
  <c r="AC35" i="1"/>
  <c r="T33" i="1"/>
  <c r="P33" i="1"/>
  <c r="D33" i="1"/>
  <c r="AD32" i="1"/>
  <c r="AC32" i="1"/>
  <c r="AB32" i="1"/>
  <c r="AD31" i="1"/>
  <c r="AC31" i="1"/>
  <c r="AB31" i="1"/>
  <c r="AD30" i="1"/>
  <c r="AC30" i="1"/>
  <c r="AB30" i="1"/>
  <c r="AD29" i="1"/>
  <c r="AC29" i="1"/>
  <c r="AB29" i="1"/>
  <c r="AD28" i="1"/>
  <c r="AC28" i="1"/>
  <c r="AB28" i="1"/>
  <c r="AD27" i="1"/>
  <c r="AC27" i="1"/>
  <c r="AB27" i="1"/>
  <c r="AD26" i="1"/>
  <c r="AC26" i="1"/>
  <c r="AB26" i="1"/>
  <c r="AD25" i="1"/>
  <c r="AC25" i="1"/>
  <c r="AB25" i="1"/>
  <c r="AD23" i="1"/>
  <c r="AC23" i="1"/>
  <c r="AB23" i="1"/>
  <c r="AD22" i="1"/>
  <c r="AC22" i="1"/>
  <c r="AB22" i="1"/>
  <c r="AD21" i="1"/>
  <c r="AC21" i="1"/>
  <c r="AB21" i="1"/>
  <c r="AD20" i="1"/>
  <c r="AC20" i="1"/>
  <c r="AB20" i="1"/>
  <c r="AD19" i="1"/>
  <c r="AC19" i="1"/>
  <c r="AB19" i="1"/>
  <c r="AD18" i="1"/>
  <c r="AC18" i="1"/>
  <c r="AB18" i="1"/>
  <c r="AD17" i="1"/>
  <c r="AC17" i="1"/>
  <c r="AB17" i="1"/>
  <c r="AD16" i="1"/>
  <c r="AC16" i="1"/>
  <c r="AB16" i="1"/>
  <c r="AB11" i="1" s="1"/>
  <c r="AB33" i="1" s="1"/>
  <c r="AD15" i="1"/>
  <c r="AC15" i="1"/>
  <c r="AB15" i="1"/>
  <c r="AD14" i="1"/>
  <c r="AD11" i="1" s="1"/>
  <c r="AD33" i="1" s="1"/>
  <c r="AC14" i="1"/>
  <c r="AB14" i="1"/>
  <c r="AD13" i="1"/>
  <c r="AC13" i="1"/>
  <c r="AB13" i="1"/>
  <c r="AD12" i="1"/>
  <c r="AC12" i="1"/>
  <c r="AB12" i="1"/>
  <c r="Z11" i="1"/>
  <c r="Z33" i="1" s="1"/>
  <c r="Y11" i="1"/>
  <c r="Y33" i="1" s="1"/>
  <c r="X11" i="1"/>
  <c r="X33" i="1" s="1"/>
  <c r="W11" i="1"/>
  <c r="W33" i="1" s="1"/>
  <c r="V11" i="1"/>
  <c r="V33" i="1" s="1"/>
  <c r="U11" i="1"/>
  <c r="U33" i="1" s="1"/>
  <c r="T11" i="1"/>
  <c r="S11" i="1"/>
  <c r="S33" i="1" s="1"/>
  <c r="R11" i="1"/>
  <c r="R33" i="1" s="1"/>
  <c r="Q11" i="1"/>
  <c r="Q33" i="1" s="1"/>
  <c r="P11" i="1"/>
  <c r="O11" i="1"/>
  <c r="O33" i="1" s="1"/>
  <c r="N11" i="1"/>
  <c r="N33" i="1" s="1"/>
  <c r="M11" i="1"/>
  <c r="M33" i="1" s="1"/>
  <c r="L11" i="1"/>
  <c r="L33" i="1" s="1"/>
  <c r="K11" i="1"/>
  <c r="K33" i="1" s="1"/>
  <c r="J11" i="1"/>
  <c r="J33" i="1" s="1"/>
  <c r="I11" i="1"/>
  <c r="I33" i="1" s="1"/>
  <c r="H11" i="1"/>
  <c r="H33" i="1" s="1"/>
  <c r="G11" i="1"/>
  <c r="G33" i="1" s="1"/>
  <c r="F11" i="1"/>
  <c r="F33" i="1" s="1"/>
  <c r="E33" i="1"/>
  <c r="D11" i="1"/>
  <c r="C11" i="1"/>
  <c r="C33" i="1" s="1"/>
  <c r="AC11" i="1" l="1"/>
  <c r="AC33" i="1" s="1"/>
  <c r="AD71" i="1"/>
  <c r="G71" i="1"/>
  <c r="G72" i="1"/>
  <c r="AC71" i="1"/>
  <c r="T71" i="1"/>
  <c r="M71" i="1"/>
  <c r="M72" i="1"/>
  <c r="S71" i="1"/>
  <c r="S72" i="1"/>
  <c r="H71" i="1"/>
  <c r="Y71" i="1"/>
  <c r="Y72" i="1"/>
  <c r="Z71" i="1"/>
  <c r="Z72" i="1"/>
  <c r="N71" i="1"/>
  <c r="N72" i="1"/>
  <c r="AC70" i="1"/>
  <c r="H72" i="1"/>
  <c r="T72" i="1"/>
  <c r="AC55" i="1"/>
  <c r="AD55" i="1"/>
  <c r="N74" i="1" l="1"/>
  <c r="N75" i="1"/>
  <c r="N76" i="1"/>
  <c r="Z74" i="1"/>
  <c r="Z75" i="1"/>
  <c r="Z76" i="1"/>
  <c r="Y74" i="1"/>
  <c r="W74" i="1"/>
  <c r="Y75" i="1"/>
  <c r="W75" i="1"/>
  <c r="Y76" i="1"/>
  <c r="W76" i="1" s="1"/>
  <c r="S75" i="1"/>
  <c r="Q75" i="1"/>
  <c r="S76" i="1"/>
  <c r="Q76" i="1"/>
  <c r="S74" i="1"/>
  <c r="S77" i="1" s="1"/>
  <c r="Q74" i="1"/>
  <c r="S78" i="1"/>
  <c r="S80" i="1" s="1"/>
  <c r="M74" i="1"/>
  <c r="K74" i="1"/>
  <c r="M75" i="1"/>
  <c r="K75" i="1"/>
  <c r="M76" i="1"/>
  <c r="K76" i="1"/>
  <c r="T76" i="1"/>
  <c r="T74" i="1"/>
  <c r="T75" i="1"/>
  <c r="G74" i="1"/>
  <c r="E74" i="1" s="1"/>
  <c r="G75" i="1"/>
  <c r="AC72" i="1"/>
  <c r="G76" i="1"/>
  <c r="E76" i="1" s="1"/>
  <c r="H74" i="1"/>
  <c r="H75" i="1"/>
  <c r="AD75" i="1" s="1"/>
  <c r="AD72" i="1"/>
  <c r="H76" i="1"/>
  <c r="AC75" i="1" l="1"/>
  <c r="AD76" i="1"/>
  <c r="AD74" i="1"/>
  <c r="H77" i="1"/>
  <c r="Y77" i="1"/>
  <c r="Y78" i="1" s="1"/>
  <c r="Y80" i="1" s="1"/>
  <c r="AC76" i="1"/>
  <c r="M77" i="1"/>
  <c r="M78" i="1" s="1"/>
  <c r="M80" i="1" s="1"/>
  <c r="E75" i="1"/>
  <c r="Z77" i="1"/>
  <c r="Z78" i="1" s="1"/>
  <c r="Z80" i="1" s="1"/>
  <c r="AC74" i="1"/>
  <c r="G77" i="1"/>
  <c r="T77" i="1"/>
  <c r="T78" i="1" s="1"/>
  <c r="T80" i="1" s="1"/>
  <c r="N77" i="1"/>
  <c r="N78" i="1" s="1"/>
  <c r="N80" i="1" s="1"/>
  <c r="AC77" i="1" l="1"/>
  <c r="G78" i="1"/>
  <c r="AD77" i="1"/>
  <c r="H78" i="1"/>
  <c r="H80" i="1" l="1"/>
  <c r="AD80" i="1" s="1"/>
  <c r="AD78" i="1"/>
  <c r="G80" i="1"/>
  <c r="AC80" i="1" s="1"/>
  <c r="AC7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4" authorId="0" shapeId="0" xr:uid="{00000000-0006-0000-0000-000010000000}">
      <text>
        <r>
          <rPr>
            <sz val="11"/>
            <color theme="1"/>
            <rFont val="Calibri"/>
            <scheme val="minor"/>
          </rPr>
          <t>======
ID#AAABoakt0HM
Alan Desbonnet    (2025-07-29 02:44:51)
Unique project ID, if available</t>
        </r>
      </text>
    </comment>
    <comment ref="G6" authorId="0" shapeId="0" xr:uid="{00000000-0006-0000-0000-000005000000}">
      <text>
        <r>
          <rPr>
            <sz val="11"/>
            <color theme="1"/>
            <rFont val="Calibri"/>
            <scheme val="minor"/>
          </rPr>
          <t>======
ID#AAABoar9S1w
Alan Desbonnet    (2025-07-29 02:44:51)
Start date of project / first year of budget</t>
        </r>
      </text>
    </comment>
    <comment ref="H6" authorId="0" shapeId="0" xr:uid="{00000000-0006-0000-0000-00000B000000}">
      <text>
        <r>
          <rPr>
            <sz val="11"/>
            <color theme="1"/>
            <rFont val="Calibri"/>
            <scheme val="minor"/>
          </rPr>
          <t>======
ID#AAABoakt0Hg
Alan Desbonnet    (2025-07-29 02:44:51)
End date of project / last budget year</t>
        </r>
      </text>
    </comment>
    <comment ref="D8" authorId="0" shapeId="0" xr:uid="{00000000-0006-0000-0000-000008000000}">
      <text>
        <r>
          <rPr>
            <sz val="11"/>
            <color rgb="FF000000"/>
            <rFont val="Calibri"/>
            <family val="2"/>
          </rPr>
          <t xml:space="preserve">======
</t>
        </r>
        <r>
          <rPr>
            <sz val="11"/>
            <color rgb="FF000000"/>
            <rFont val="Calibri"/>
            <family val="2"/>
          </rPr>
          <t xml:space="preserve">ID#AAABoar9S1s
</t>
        </r>
        <r>
          <rPr>
            <sz val="11"/>
            <color rgb="FF000000"/>
            <rFont val="Calibri"/>
            <family val="2"/>
          </rPr>
          <t xml:space="preserve">Alan Desbonnet    (2025-07-29 02:44:51)
</t>
        </r>
        <r>
          <rPr>
            <sz val="11"/>
            <color rgb="FF000000"/>
            <rFont val="Calibri"/>
            <family val="2"/>
          </rPr>
          <t>Budget Year 1 start date</t>
        </r>
      </text>
    </comment>
    <comment ref="F8" authorId="0" shapeId="0" xr:uid="{00000000-0006-0000-0000-00000C000000}">
      <text>
        <r>
          <rPr>
            <sz val="11"/>
            <color theme="1"/>
            <rFont val="Calibri"/>
            <scheme val="minor"/>
          </rPr>
          <t>======
ID#AAABoakt0Hc
Alan Desbonnet    (2025-07-29 02:44:51)
Budget Year 1 end date</t>
        </r>
      </text>
    </comment>
    <comment ref="C9" authorId="0" shapeId="0" xr:uid="{00000000-0006-0000-0000-00000A000000}">
      <text>
        <r>
          <rPr>
            <sz val="11"/>
            <color theme="1"/>
            <rFont val="Calibri"/>
            <scheme val="minor"/>
          </rPr>
          <t>======
ID#AAABoakt0Hk
Alan Desbonnet    (2025-07-29 02:44:51)
Total number of personnel</t>
        </r>
      </text>
    </comment>
    <comment ref="D9" authorId="0" shapeId="0" xr:uid="{00000000-0006-0000-0000-000017000000}">
      <text>
        <r>
          <rPr>
            <sz val="11"/>
            <color theme="1"/>
            <rFont val="Calibri"/>
            <scheme val="minor"/>
          </rPr>
          <t>======
ID#AAABoakt0Gw
Chelsea Berg    (2025-07-29 02:44:51)
Total number of months devoted to the project.</t>
        </r>
      </text>
    </comment>
    <comment ref="E9" authorId="0" shapeId="0" xr:uid="{00000000-0006-0000-0000-000016000000}">
      <text>
        <r>
          <rPr>
            <sz val="11"/>
            <color theme="1"/>
            <rFont val="Calibri"/>
            <scheme val="minor"/>
          </rPr>
          <t>======
ID#AAABoakt0G0
Chelsea Berg    (2025-07-29 02:44:51)
Total Federal + Non-Federal salary this budget period</t>
        </r>
      </text>
    </comment>
    <comment ref="F9" authorId="0" shapeId="0" xr:uid="{00000000-0006-0000-0000-000014000000}">
      <text>
        <r>
          <rPr>
            <sz val="11"/>
            <color theme="1"/>
            <rFont val="Calibri"/>
            <scheme val="minor"/>
          </rPr>
          <t>======
ID#AAABoakt0G8
Chelsea Berg    (2025-07-29 02:44:51)
Total Federal + Non-Federal fringe this budget period</t>
        </r>
      </text>
    </comment>
    <comment ref="G9" authorId="0" shapeId="0" xr:uid="{00000000-0006-0000-0000-000013000000}">
      <text>
        <r>
          <rPr>
            <sz val="11"/>
            <color rgb="FF000000"/>
            <rFont val="Calibri"/>
            <family val="2"/>
          </rPr>
          <t xml:space="preserve">======
</t>
        </r>
        <r>
          <rPr>
            <sz val="11"/>
            <color rgb="FF000000"/>
            <rFont val="Calibri"/>
            <family val="2"/>
          </rPr>
          <t xml:space="preserve">ID#AAABoakt0HA
</t>
        </r>
        <r>
          <rPr>
            <sz val="11"/>
            <color rgb="FF000000"/>
            <rFont val="Calibri"/>
            <family val="2"/>
          </rPr>
          <t xml:space="preserve">Chelsea Berg    (2025-07-29 02:44:51)
</t>
        </r>
        <r>
          <rPr>
            <sz val="11"/>
            <color rgb="FF000000"/>
            <rFont val="Calibri"/>
            <family val="2"/>
          </rPr>
          <t>Amount of federal funding being requested in this application for this cost category</t>
        </r>
      </text>
    </comment>
    <comment ref="H9" authorId="0" shapeId="0" xr:uid="{00000000-0006-0000-0000-000004000000}">
      <text>
        <r>
          <rPr>
            <sz val="11"/>
            <color rgb="FF000000"/>
            <rFont val="Calibri"/>
            <family val="2"/>
          </rPr>
          <t xml:space="preserve">======
</t>
        </r>
        <r>
          <rPr>
            <sz val="11"/>
            <color rgb="FF000000"/>
            <rFont val="Calibri"/>
            <family val="2"/>
          </rPr>
          <t xml:space="preserve">ID#AAABoar9S10
</t>
        </r>
        <r>
          <rPr>
            <sz val="11"/>
            <color rgb="FF000000"/>
            <rFont val="Calibri"/>
            <family val="2"/>
          </rPr>
          <t xml:space="preserve">Chelsea Berg    (2025-07-29 02:44:51)
</t>
        </r>
        <r>
          <rPr>
            <sz val="11"/>
            <color rgb="FF000000"/>
            <rFont val="Calibri"/>
            <family val="2"/>
          </rPr>
          <t>Amount of match/non-federal funding being proposed in this application for this cost category.</t>
        </r>
      </text>
    </comment>
    <comment ref="A34" authorId="0" shapeId="0" xr:uid="{00000000-0006-0000-0000-000006000000}">
      <text>
        <r>
          <rPr>
            <sz val="11"/>
            <color theme="1"/>
            <rFont val="Calibri"/>
            <scheme val="minor"/>
          </rPr>
          <t>======
ID#AAABoar9S1k
Alan Desbonnet    (2025-07-29 02:44:51)
Not subject to indirect cost rate</t>
        </r>
      </text>
    </comment>
    <comment ref="A43" authorId="0" shapeId="0" xr:uid="{00000000-0006-0000-0000-000001000000}">
      <text>
        <r>
          <rPr>
            <sz val="11"/>
            <color theme="1"/>
            <rFont val="Calibri"/>
            <scheme val="minor"/>
          </rPr>
          <t>======
ID#AAABoar9S18
Alan Desbonnet    (2025-07-29 02:44:51)
Not subject to indirect cost rate</t>
        </r>
      </text>
    </comment>
    <comment ref="A55" authorId="0" shapeId="0" xr:uid="{00000000-0006-0000-0000-000009000000}">
      <text>
        <r>
          <rPr>
            <sz val="11"/>
            <color theme="1"/>
            <rFont val="Calibri"/>
            <scheme val="minor"/>
          </rPr>
          <t>======
ID#AAABoar9S1g
Alan Desbonnet    (2025-07-29 02:44:51)
Use Open Subawards button to add subawards</t>
        </r>
      </text>
    </comment>
    <comment ref="C56" authorId="0" shapeId="0" xr:uid="{00000000-0006-0000-0000-000015000000}">
      <text>
        <r>
          <rPr>
            <sz val="11"/>
            <color theme="1"/>
            <rFont val="Calibri"/>
            <scheme val="minor"/>
          </rPr>
          <t>======
ID#AAABoakt0G4
Alan Desbonnet    (2025-07-29 02:44:51)
Total Federal Subaward Amount</t>
        </r>
      </text>
    </comment>
    <comment ref="D56" authorId="0" shapeId="0" xr:uid="{00000000-0006-0000-0000-000007000000}">
      <text>
        <r>
          <rPr>
            <sz val="11"/>
            <color theme="1"/>
            <rFont val="Calibri"/>
            <scheme val="minor"/>
          </rPr>
          <t>======
ID#AAABoar9S1o
Alan Desbonnet    (2025-07-29 02:44:51)
Amount of Fed $ subaward subject to indirect</t>
        </r>
      </text>
    </comment>
    <comment ref="E56" authorId="0" shapeId="0" xr:uid="{00000000-0006-0000-0000-000011000000}">
      <text>
        <r>
          <rPr>
            <sz val="11"/>
            <color theme="1"/>
            <rFont val="Calibri"/>
            <scheme val="minor"/>
          </rPr>
          <t>======
ID#AAABoakt0HI
Alan Desbonnet    (2025-07-29 02:44:51)
Total Match Subaward Amount</t>
        </r>
      </text>
    </comment>
    <comment ref="B65" authorId="0" shapeId="0" xr:uid="{00000000-0006-0000-0000-000002000000}">
      <text>
        <r>
          <rPr>
            <sz val="11"/>
            <color rgb="FF000000"/>
            <rFont val="Calibri"/>
            <family val="2"/>
          </rPr>
          <t xml:space="preserve">======
</t>
        </r>
        <r>
          <rPr>
            <sz val="11"/>
            <color rgb="FF000000"/>
            <rFont val="Calibri"/>
            <family val="2"/>
          </rPr>
          <t xml:space="preserve">ID#AAABoar9S2A
</t>
        </r>
        <r>
          <rPr>
            <sz val="11"/>
            <color rgb="FF000000"/>
            <rFont val="Calibri"/>
            <family val="2"/>
          </rPr>
          <t xml:space="preserve">Alan Desbonnet    (2025-07-29 02:44:51)
</t>
        </r>
        <r>
          <rPr>
            <sz val="11"/>
            <color rgb="FF000000"/>
            <rFont val="Calibri"/>
            <family val="2"/>
          </rPr>
          <t>Indirect cost rate not applied</t>
        </r>
      </text>
    </comment>
    <comment ref="B66" authorId="0" shapeId="0" xr:uid="{00000000-0006-0000-0000-000012000000}">
      <text>
        <r>
          <rPr>
            <sz val="11"/>
            <color theme="1"/>
            <rFont val="Calibri"/>
            <scheme val="minor"/>
          </rPr>
          <t>======
ID#AAABoakt0HE
Alan Desbonnet    (2025-07-29 02:44:51)
Indirect cost rate not applied</t>
        </r>
      </text>
    </comment>
    <comment ref="A72" authorId="0" shapeId="0" xr:uid="{00000000-0006-0000-0000-00000E000000}">
      <text>
        <r>
          <rPr>
            <sz val="11"/>
            <color theme="1"/>
            <rFont val="Calibri"/>
            <scheme val="minor"/>
          </rPr>
          <t>======
ID#AAABoakt0HU
Alan Desbonnet    (2025-07-29 02:44:51)
See FUNCTIONS to overwrite</t>
        </r>
      </text>
    </comment>
    <comment ref="C73" authorId="0" shapeId="0" xr:uid="{00000000-0006-0000-0000-00000F000000}">
      <text>
        <r>
          <rPr>
            <sz val="11"/>
            <color theme="1"/>
            <rFont val="Calibri"/>
            <scheme val="minor"/>
          </rPr>
          <t>======
ID#AAABoakt0HQ
Alan Desbonnet    (2025-07-29 02:44:51)
IDC rate used by Sea Grant program; use whole numbers, not decimals</t>
        </r>
      </text>
    </comment>
    <comment ref="D73" authorId="0" shapeId="0" xr:uid="{00000000-0006-0000-0000-00000D000000}">
      <text>
        <r>
          <rPr>
            <sz val="11"/>
            <color theme="1"/>
            <rFont val="Calibri"/>
            <scheme val="minor"/>
          </rPr>
          <t>======
ID#AAABoakt0HY
Alan Desbonnet    (2025-07-29 02:44:51)
Host institution indirect rate; use whole numbers, not decimals</t>
        </r>
      </text>
    </comment>
    <comment ref="E73" authorId="0" shapeId="0" xr:uid="{00000000-0006-0000-0000-000003000000}">
      <text>
        <r>
          <rPr>
            <sz val="11"/>
            <color theme="1"/>
            <rFont val="Calibri"/>
            <scheme val="minor"/>
          </rPr>
          <t>======
ID#AAABoar9S14
Alan Desbonnet    (2025-07-29 02:44:51)
When SG% = Inst%  waived indirect = 0</t>
        </r>
      </text>
    </comment>
  </commentList>
  <extLst>
    <ext xmlns:r="http://schemas.openxmlformats.org/officeDocument/2006/relationships" uri="GoogleSheetsCustomDataVersion2">
      <go:sheetsCustomData xmlns:go="http://customooxmlschemas.google.com/" r:id="rId1" roundtripDataSignature="AMtx7mjBeCe8WcfN9Diz+RQAquuqQjTHEg=="/>
    </ext>
  </extLst>
</comments>
</file>

<file path=xl/sharedStrings.xml><?xml version="1.0" encoding="utf-8"?>
<sst xmlns="http://schemas.openxmlformats.org/spreadsheetml/2006/main" count="240" uniqueCount="192">
  <si>
    <t>National Oceanic and Atmospheric Administration (NOAA)</t>
  </si>
  <si>
    <t>Adapted from OMB Control No: 0648-0362 Exp 04/30/2024</t>
  </si>
  <si>
    <t>Form 90-4 (Adapted)</t>
  </si>
  <si>
    <t>Budget Type</t>
  </si>
  <si>
    <t>Primary Budget</t>
  </si>
  <si>
    <t>Project Status:  New</t>
  </si>
  <si>
    <t xml:space="preserve">Project Number: </t>
  </si>
  <si>
    <t>26-0061</t>
  </si>
  <si>
    <t xml:space="preserve">SG Program: </t>
  </si>
  <si>
    <t>MI</t>
  </si>
  <si>
    <t>from</t>
  </si>
  <si>
    <t>to</t>
  </si>
  <si>
    <t xml:space="preserve">Project Title: </t>
  </si>
  <si>
    <t>Stoichiometric Plasticity of Heterotrophic Bacteria in the Laurentian Great Lakes: The Impacts of Winter and Nutrient Concentration on Community Resilience</t>
  </si>
  <si>
    <t xml:space="preserve">Project Period: </t>
  </si>
  <si>
    <t xml:space="preserve">PI:  </t>
  </si>
  <si>
    <t>Connor O'Loughlin</t>
  </si>
  <si>
    <t>YEAR 1</t>
  </si>
  <si>
    <t>YEAR 2</t>
  </si>
  <si>
    <t>YEAR 3</t>
  </si>
  <si>
    <t>YEAR 4</t>
  </si>
  <si>
    <t xml:space="preserve">Institution:  </t>
  </si>
  <si>
    <t>Michigan Technologcial University</t>
  </si>
  <si>
    <t>start:</t>
  </si>
  <si>
    <t>end:</t>
  </si>
  <si>
    <t>TOTAL</t>
  </si>
  <si>
    <t>No. of Personnel</t>
  </si>
  <si>
    <t>Months of Effort</t>
  </si>
  <si>
    <t>Requested Salary</t>
  </si>
  <si>
    <t>Fringe Benefits</t>
  </si>
  <si>
    <t>Sea Grant / Federal Funds</t>
  </si>
  <si>
    <t>Match / Non-Federal Funds</t>
  </si>
  <si>
    <t>Sea Grant (Federal) Funds</t>
  </si>
  <si>
    <t>Match/Non-Federal Funds</t>
  </si>
  <si>
    <t>Matching/Non-Federal Funds</t>
  </si>
  <si>
    <t>A. Senior/Key Person</t>
  </si>
  <si>
    <t xml:space="preserve">         a.  Senior/Key Person Salary</t>
  </si>
  <si>
    <t>B. Other Personnel</t>
  </si>
  <si>
    <t xml:space="preserve">         a. Post Doctoral Associates</t>
  </si>
  <si>
    <t xml:space="preserve">         b. Graduate Students</t>
  </si>
  <si>
    <t xml:space="preserve">         c. Undergraduate Students</t>
  </si>
  <si>
    <t xml:space="preserve">         d. Secretarial/Clerical</t>
  </si>
  <si>
    <t xml:space="preserve">         e. Other</t>
  </si>
  <si>
    <t xml:space="preserve">         f.  Other</t>
  </si>
  <si>
    <t xml:space="preserve">         g.  Other</t>
  </si>
  <si>
    <t xml:space="preserve">         h.  Other</t>
  </si>
  <si>
    <t xml:space="preserve">         Total Salary, Wages and Fringe Benefits (A+B)</t>
  </si>
  <si>
    <t>C. Permanent Equipment</t>
  </si>
  <si>
    <t xml:space="preserve">        1) Item</t>
  </si>
  <si>
    <t xml:space="preserve">        2) Item</t>
  </si>
  <si>
    <t xml:space="preserve">        3) Item</t>
  </si>
  <si>
    <t xml:space="preserve">         Total Permanent Equipment</t>
  </si>
  <si>
    <t>D. Travel</t>
  </si>
  <si>
    <t xml:space="preserve">    1) Domestic U.S. (Inc. Puerto Rico)</t>
  </si>
  <si>
    <t xml:space="preserve">    2) Foreign</t>
  </si>
  <si>
    <t xml:space="preserve">        Total Travel</t>
  </si>
  <si>
    <t>E. Participant/Trainee Support Costs</t>
  </si>
  <si>
    <t xml:space="preserve">    1) Tuition/Fees/Health Insurance</t>
  </si>
  <si>
    <t xml:space="preserve">    2) Stipends</t>
  </si>
  <si>
    <t xml:space="preserve">    3) Travel</t>
  </si>
  <si>
    <t xml:space="preserve">    4) Subsistence</t>
  </si>
  <si>
    <t xml:space="preserve">    5) Other</t>
  </si>
  <si>
    <t xml:space="preserve">         Total Participant/Trainee Support Costs</t>
  </si>
  <si>
    <t>F. Other Direct Costs</t>
  </si>
  <si>
    <t xml:space="preserve">     1) Materials and Supplies</t>
  </si>
  <si>
    <t xml:space="preserve">     2) Publication Costs</t>
  </si>
  <si>
    <t xml:space="preserve">     3) Consultant Services</t>
  </si>
  <si>
    <t xml:space="preserve">     4) ADP/Computer Services</t>
  </si>
  <si>
    <t xml:space="preserve">     5) Subawards/Consortium/Contractual Costs</t>
  </si>
  <si>
    <t>Fed Sub</t>
  </si>
  <si>
    <t>IDC Apply</t>
  </si>
  <si>
    <t>non-Fed Sub</t>
  </si>
  <si>
    <t>Sub1</t>
  </si>
  <si>
    <t>Sub2</t>
  </si>
  <si>
    <t>Sub3</t>
  </si>
  <si>
    <t>Sub4</t>
  </si>
  <si>
    <t>Sub5</t>
  </si>
  <si>
    <t>Sub6</t>
  </si>
  <si>
    <t xml:space="preserve">     6) Equipment or Faculity Rental/User Fees</t>
  </si>
  <si>
    <t xml:space="preserve">     7) Alterations and Renovations</t>
  </si>
  <si>
    <t xml:space="preserve">     8) Tuition NOT Subject to Indirect</t>
  </si>
  <si>
    <t xml:space="preserve">     9) Other NOT Subject to Indirect</t>
  </si>
  <si>
    <t xml:space="preserve">     10) Other</t>
  </si>
  <si>
    <t>Services</t>
  </si>
  <si>
    <t xml:space="preserve">     11) Other</t>
  </si>
  <si>
    <t xml:space="preserve">     12) Other</t>
  </si>
  <si>
    <t xml:space="preserve">         Total Other Direct Costs</t>
  </si>
  <si>
    <t>G. Total Direct Costs</t>
  </si>
  <si>
    <r>
      <rPr>
        <b/>
        <sz val="10"/>
        <color theme="1"/>
        <rFont val="Calibri"/>
      </rPr>
      <t>MODIFIED Direct Costs</t>
    </r>
    <r>
      <rPr>
        <sz val="10"/>
        <color theme="1"/>
        <rFont val="Calibri"/>
      </rPr>
      <t xml:space="preserve"> - used for calculating indirect</t>
    </r>
  </si>
  <si>
    <r>
      <rPr>
        <b/>
        <sz val="10"/>
        <color theme="1"/>
        <rFont val="Calibri"/>
      </rPr>
      <t xml:space="preserve">H. Indirect Costs </t>
    </r>
    <r>
      <rPr>
        <sz val="10"/>
        <color theme="1"/>
        <rFont val="Calibri"/>
      </rPr>
      <t>-  on Modified Direct Costs (see FUNCTIONS to overwrite)</t>
    </r>
  </si>
  <si>
    <t>SG%</t>
  </si>
  <si>
    <t>Inst%</t>
  </si>
  <si>
    <t>waived $</t>
  </si>
  <si>
    <t xml:space="preserve">    1) On campus: </t>
  </si>
  <si>
    <t xml:space="preserve">    2) Off campus:</t>
  </si>
  <si>
    <t xml:space="preserve">    3) other:</t>
  </si>
  <si>
    <t>Total Indirect Costs</t>
  </si>
  <si>
    <r>
      <rPr>
        <b/>
        <sz val="10"/>
        <color theme="1"/>
        <rFont val="Calibri"/>
      </rPr>
      <t xml:space="preserve">I. Total Cost </t>
    </r>
    <r>
      <rPr>
        <sz val="10"/>
        <color theme="1"/>
        <rFont val="Calibri"/>
      </rPr>
      <t>- (Total Direct) + (Total Indirect)</t>
    </r>
  </si>
  <si>
    <t>J. Fee</t>
  </si>
  <si>
    <t>K. Total Costs and Fees</t>
  </si>
  <si>
    <r>
      <rPr>
        <b/>
        <i/>
        <sz val="14"/>
        <color rgb="FFFFFF00"/>
        <rFont val="Aptos"/>
      </rPr>
      <t>CLICK THE</t>
    </r>
    <r>
      <rPr>
        <sz val="12"/>
        <color theme="0"/>
        <rFont val="Aptos"/>
      </rPr>
      <t xml:space="preserve">    </t>
    </r>
    <r>
      <rPr>
        <b/>
        <sz val="28"/>
        <color rgb="FFFFFF00"/>
        <rFont val="Aptos"/>
      </rPr>
      <t>SHOW FUNCTIONS</t>
    </r>
    <r>
      <rPr>
        <b/>
        <sz val="20"/>
        <color theme="0"/>
        <rFont val="Aptos"/>
      </rPr>
      <t xml:space="preserve">  </t>
    </r>
    <r>
      <rPr>
        <sz val="14"/>
        <color theme="0"/>
        <rFont val="Aptos"/>
      </rPr>
      <t xml:space="preserve"> </t>
    </r>
    <r>
      <rPr>
        <b/>
        <i/>
        <sz val="14"/>
        <color rgb="FFFFFF00"/>
        <rFont val="Aptos"/>
      </rPr>
      <t>BUTTON FIRST</t>
    </r>
  </si>
  <si>
    <t>**see text below for details**</t>
  </si>
  <si>
    <r>
      <rPr>
        <b/>
        <sz val="16"/>
        <color theme="1"/>
        <rFont val="Aptos"/>
      </rPr>
      <t>MAC USERS</t>
    </r>
    <r>
      <rPr>
        <sz val="12"/>
        <color theme="1"/>
        <rFont val="Aptos"/>
      </rPr>
      <t>—Download / Open the Excel document. Click "Enable Macros" button when queried.</t>
    </r>
  </si>
  <si>
    <r>
      <rPr>
        <b/>
        <sz val="16"/>
        <color theme="1"/>
        <rFont val="Aptos"/>
      </rPr>
      <t>non-MAC USERS</t>
    </r>
    <r>
      <rPr>
        <sz val="12"/>
        <color theme="1"/>
        <rFont val="Aptos"/>
      </rPr>
      <t>—Download / Open the Excel document. Save to desired drive / directory and Close the document. Open the document and macros will be functional. IF at any point you receive a message box / screen asking to Trust / Enable macros, reply YES — macros should then be functional.</t>
    </r>
  </si>
  <si>
    <r>
      <rPr>
        <b/>
        <sz val="12"/>
        <color theme="1"/>
        <rFont val="Aptos"/>
      </rPr>
      <t>Unlock Modifed Direct &amp; H. Indirect Costs to set initial indirect cost rates</t>
    </r>
    <r>
      <rPr>
        <sz val="12"/>
        <color theme="1"/>
        <rFont val="Aptos"/>
      </rPr>
      <t xml:space="preserve"> for your budget; Lock when done so any change is purposeful.</t>
    </r>
  </si>
  <si>
    <t xml:space="preserve">Read Me for Excel 90-4 Adapted Workbook </t>
  </si>
  <si>
    <t xml:space="preserve">This Excel 90-4 worksheet is adapted to better comply with budget categories found in the SF424RR budget form. While many categories are similar to the previously used 90-4 budget, there are new budget categories and differences in several data aggregations. It is not the intent of this Excel workbook to conduct all calculations needed to develop budgets for proposals. This workbook instead is meant to be a companion to other platforms, such as eSeaGrant that conduct the tedious calculations. The 90-4 Adapted budget is revised to more closely align to categories used in the SF424RR budget now required by use of eRA. The 90-4 Adapted displays specific budget data, not adequately displayed in the SF424RR form, needed by NSGO to effectively and efficiently manage project funding at the national level. </t>
  </si>
  <si>
    <t>GENERAL INFORMATION</t>
  </si>
  <si>
    <r>
      <rPr>
        <b/>
        <sz val="12"/>
        <color theme="1"/>
        <rFont val="Aptos"/>
      </rPr>
      <t>Macros</t>
    </r>
    <r>
      <rPr>
        <sz val="12"/>
        <color theme="1"/>
        <rFont val="Aptos"/>
      </rPr>
      <t>—This Excel workbook contains macros. All macros function to expose or hide portions of the 90-4 budget form, lock or unlock specific cells, or reinstall formulas in cells that allow overwriting. No data are manipulated via a macro and none connect to any data outside of that contained in the Excel 90-4 budget document. If a calculation is found to be in error, the problem is in an embedded formula, not in the VBA macro code. In all instances of button use the cursor is returned the “Select Budget Type” dropdown (budget selection is not affected).</t>
    </r>
  </si>
  <si>
    <r>
      <rPr>
        <b/>
        <sz val="12"/>
        <color theme="1"/>
        <rFont val="Aptos"/>
      </rPr>
      <t>Protected Worksheet</t>
    </r>
    <r>
      <rPr>
        <sz val="12"/>
        <color theme="1"/>
        <rFont val="Aptos"/>
      </rPr>
      <t>—The 90-4 Excel worksheet is protected, but without a password. All cells with yellow background color are available for data entry; white cells are locked (those outside of the budget form area however, are not). You can “unprotect” the worksheet but do so with caution. The worksheet has embedded formulas and macros that call on specific rows, columns, and cells. Adding or removing cells, rows, or columns, may cause macros to malfunction and/or formulas to provide incorrect calculations. It is recommended that you leave the worksheet in a “protected” state; work from a copy if you decide to alter the worksheet.</t>
    </r>
  </si>
  <si>
    <r>
      <rPr>
        <b/>
        <sz val="12"/>
        <color theme="1"/>
        <rFont val="Aptos"/>
      </rPr>
      <t>Dropdown Menus</t>
    </r>
    <r>
      <rPr>
        <sz val="12"/>
        <color theme="1"/>
        <rFont val="Aptos"/>
      </rPr>
      <t xml:space="preserve">—are contained on a “hidden” Excel workbook tab. If for some reason you need to amend a dropdown list, you can “unhide” the tab. The only dropdown lists are for Budget Type and Sea Grant Program and should not need editing. </t>
    </r>
  </si>
  <si>
    <r>
      <rPr>
        <b/>
        <sz val="12"/>
        <color theme="1"/>
        <rFont val="Aptos"/>
      </rPr>
      <t>Fringe Table</t>
    </r>
    <r>
      <rPr>
        <sz val="12"/>
        <color theme="1"/>
        <rFont val="Aptos"/>
      </rPr>
      <t>—mimics the "B. Fringe Benefits" section of the original 90-4 form where fringe rate detail can be added for institutional use. This tab pulls Key Person information from the budget form to the table, which can then be populated with fringe rate data for Key Persons as well as any notes of explanation.</t>
    </r>
    <r>
      <rPr>
        <b/>
        <sz val="12"/>
        <color theme="1"/>
        <rFont val="Aptos"/>
      </rPr>
      <t xml:space="preserve"> </t>
    </r>
    <r>
      <rPr>
        <sz val="12"/>
        <color theme="1"/>
        <rFont val="Aptos"/>
      </rPr>
      <t>Data in this table are not used in any budget calculations.</t>
    </r>
  </si>
  <si>
    <t>NON-DESTRUCTIVE FUNCTION BUTTONS (BLUE and GREY)</t>
  </si>
  <si>
    <r>
      <rPr>
        <b/>
        <sz val="12"/>
        <color theme="1"/>
        <rFont val="Aptos"/>
      </rPr>
      <t>SHOW / HIDE FUNCTIONS</t>
    </r>
    <r>
      <rPr>
        <sz val="12"/>
        <color theme="1"/>
        <rFont val="Aptos"/>
      </rPr>
      <t>—This pair of buttons toggles between showing or hiding the series of command buttons as described below. It is recommended that you HIDE FUNCTIONS prior to creating the PDF budget file that will be submitted to the funder. No data are affected by use of these buttons.</t>
    </r>
  </si>
  <si>
    <r>
      <rPr>
        <b/>
        <sz val="12"/>
        <color theme="1"/>
        <rFont val="Aptos"/>
      </rPr>
      <t>Show Xtra Subs / Hide Xtra Subs</t>
    </r>
    <r>
      <rPr>
        <sz val="12"/>
        <color theme="1"/>
        <rFont val="Aptos"/>
      </rPr>
      <t>—This pair of buttons toggles between showing or hiding 3 extra subaward lines in “F. Other Direct Costs, 5) Subawards.” Data are not affected by show/hide action.</t>
    </r>
  </si>
  <si>
    <r>
      <rPr>
        <b/>
        <sz val="12"/>
        <color theme="1"/>
        <rFont val="Aptos"/>
      </rPr>
      <t>Open / Close Key Persons</t>
    </r>
    <r>
      <rPr>
        <sz val="12"/>
        <color theme="1"/>
        <rFont val="Aptos"/>
      </rPr>
      <t xml:space="preserve">—This pair of buttons opens Senior/Key Person rows for input of individual PI, co-PI, and other key persons on the project. Input values are summed in Row 11. CLOSE KEY PERSONS should be initiated prior to creating the PDF budget file that will be submitted to the funder. </t>
    </r>
  </si>
  <si>
    <r>
      <rPr>
        <b/>
        <sz val="12"/>
        <color theme="1"/>
        <rFont val="Aptos"/>
      </rPr>
      <t>Lock / Unlock Modified Direct &amp; H. Indirect Costs</t>
    </r>
    <r>
      <rPr>
        <sz val="12"/>
        <color theme="1"/>
        <rFont val="Aptos"/>
      </rPr>
      <t>—This pair of buttons toggles between locking (cannot edit) and unlocking (can edit) workbook Row 72 “Modified Direct Costs” and Rows 74-76 “H. Indirect Costs,” including indirect cost rates (SG% and Inst%). Cell color is yellow when unlocked, white when locked. Data already input are not affected by lock/unlock action. Unlock to set indirect cost rates and/or when Modified Direct or Indirect Cost totals need to be overwritten (see RESET YrX ModDir &amp; IDC).</t>
    </r>
  </si>
  <si>
    <r>
      <rPr>
        <b/>
        <sz val="12"/>
        <color theme="1"/>
        <rFont val="Aptos"/>
      </rPr>
      <t>Freeze / UnFreeze Headers</t>
    </r>
    <r>
      <rPr>
        <sz val="12"/>
        <color theme="1"/>
        <rFont val="Aptos"/>
      </rPr>
      <t>—This pair of buttons locks, or unlocks, the top 10 rows and leftmost 2 columns to keep row and column headers visible. Data are not affected by freeze/unfreeze action.</t>
    </r>
  </si>
  <si>
    <r>
      <rPr>
        <b/>
        <sz val="12"/>
        <color theme="1"/>
        <rFont val="Aptos"/>
      </rPr>
      <t>Open / Close Yr</t>
    </r>
    <r>
      <rPr>
        <sz val="12"/>
        <color theme="1"/>
        <rFont val="Aptos"/>
      </rPr>
      <t>—These buttons open or close individual budget years. Data are not affected by open/close action.</t>
    </r>
  </si>
  <si>
    <t>DESTRUCTIVE FUNCTION BUTTONS (RED)</t>
  </si>
  <si>
    <r>
      <rPr>
        <b/>
        <sz val="12"/>
        <color theme="1"/>
        <rFont val="Aptos"/>
      </rPr>
      <t>RESET ENTIRE SHEET</t>
    </r>
    <r>
      <rPr>
        <sz val="12"/>
        <color theme="1"/>
        <rFont val="Aptos"/>
      </rPr>
      <t>—Use of this button clears ALL data contained in the entire Excel worksheet for all budget years. All formulas are restored to their original state, and the worksheet is restored to its original condition (i.e., as if it were the first time opened for use). It is suggested that you save a copy before using this function.</t>
    </r>
    <r>
      <rPr>
        <b/>
        <sz val="12"/>
        <color theme="1"/>
        <rFont val="Aptos"/>
      </rPr>
      <t xml:space="preserve"> If you make a copy of this workbook for use with other proposals it is recommended that you "Reset Entire Sheet" before saving for reuse.</t>
    </r>
  </si>
  <si>
    <r>
      <rPr>
        <b/>
        <sz val="12"/>
        <color theme="1"/>
        <rFont val="Aptos"/>
      </rPr>
      <t>RESET Yr”X” ModDir &amp; IDC</t>
    </r>
    <r>
      <rPr>
        <sz val="12"/>
        <color theme="1"/>
        <rFont val="Aptos"/>
      </rPr>
      <t xml:space="preserve">—Use of this button replaces input data with the original formulas in those cells that can be unlocked when using the “Unlock Modified Direct &amp; H. Indirect Costs”  button. This function can be useful when there is the need to replace the original formulas an individual budget year. For instance, the amount of indirect cost is replaced with a specific dollar value in Yr2 to get the budget total to a desired value. Further budget work occurs, and it may be useful to replace the formula—click the “RESET Yr2 ModDir &amp; IDC” button. Use of this button ONLY affects cells where formulas have been replaced by specific values (e.g., replacing the original formula in a cell containing the original formula has no affect). SG% and Inst% are not affected as they do not contain formulas. </t>
    </r>
  </si>
  <si>
    <t>NOTES (red triangles)</t>
  </si>
  <si>
    <t>Other than Project Number and Project Period, all descriptors apply to each budget year in the project. Totals across budget years are automatically calculated and displayed in the TOTAL section (light blue cells).</t>
  </si>
  <si>
    <r>
      <rPr>
        <b/>
        <sz val="12"/>
        <color theme="1"/>
        <rFont val="Aptos"/>
      </rPr>
      <t>PROJECT NUMBER</t>
    </r>
    <r>
      <rPr>
        <sz val="12"/>
        <color theme="1"/>
        <rFont val="Aptos"/>
      </rPr>
      <t xml:space="preserve">—A unique project identification number given by the Sea Grant program and used for tracking in PIER and other database systems. </t>
    </r>
  </si>
  <si>
    <r>
      <rPr>
        <b/>
        <sz val="12"/>
        <color theme="1"/>
        <rFont val="Aptos"/>
      </rPr>
      <t>PROJECT PERIOD FROM and TO</t>
    </r>
    <r>
      <rPr>
        <sz val="12"/>
        <color theme="1"/>
        <rFont val="Aptos"/>
      </rPr>
      <t>—Start and end dates of the project length; includes all budget years.</t>
    </r>
  </si>
  <si>
    <r>
      <rPr>
        <b/>
        <sz val="12"/>
        <color theme="1"/>
        <rFont val="Aptos"/>
      </rPr>
      <t>BUDGET YEAR START and END</t>
    </r>
    <r>
      <rPr>
        <sz val="12"/>
        <color theme="1"/>
        <rFont val="Aptos"/>
      </rPr>
      <t>—Start and end date of each individual budget year in the project; each budget year requests input of a start and end date.</t>
    </r>
  </si>
  <si>
    <r>
      <rPr>
        <b/>
        <sz val="12"/>
        <color theme="1"/>
        <rFont val="Aptos"/>
      </rPr>
      <t>NO. OF PERSONNEL</t>
    </r>
    <r>
      <rPr>
        <sz val="12"/>
        <color theme="1"/>
        <rFont val="Aptos"/>
      </rPr>
      <t>—Total number of persons in A. Senior/Key and B. Other Personnel budget line categories. A. Senior/Key Person number auto-calculates as effort is entered.</t>
    </r>
  </si>
  <si>
    <r>
      <rPr>
        <b/>
        <sz val="12"/>
        <color theme="1"/>
        <rFont val="Aptos"/>
      </rPr>
      <t>MONTHS OF EFFORT</t>
    </r>
    <r>
      <rPr>
        <sz val="12"/>
        <color theme="1"/>
        <rFont val="Aptos"/>
      </rPr>
      <t>—Total months of effort for all persons in the A. Senior/Key (auto-calculating) and B. Other Personnel categories.</t>
    </r>
  </si>
  <si>
    <r>
      <rPr>
        <b/>
        <sz val="12"/>
        <color theme="1"/>
        <rFont val="Aptos"/>
      </rPr>
      <t>REQUESTED SALARY</t>
    </r>
    <r>
      <rPr>
        <sz val="12"/>
        <color theme="1"/>
        <rFont val="Aptos"/>
      </rPr>
      <t>—Total salaries—</t>
    </r>
    <r>
      <rPr>
        <b/>
        <sz val="12"/>
        <color theme="1"/>
        <rFont val="Aptos"/>
      </rPr>
      <t>federal + non-federal</t>
    </r>
    <r>
      <rPr>
        <sz val="12"/>
        <color theme="1"/>
        <rFont val="Aptos"/>
      </rPr>
      <t xml:space="preserve">. </t>
    </r>
  </si>
  <si>
    <r>
      <rPr>
        <b/>
        <sz val="12"/>
        <color theme="1"/>
        <rFont val="Aptos"/>
      </rPr>
      <t>FRINGE BENEFITS</t>
    </r>
    <r>
      <rPr>
        <sz val="12"/>
        <color theme="1"/>
        <rFont val="Aptos"/>
      </rPr>
      <t>—Total fringe benefits—</t>
    </r>
    <r>
      <rPr>
        <b/>
        <sz val="12"/>
        <color theme="1"/>
        <rFont val="Aptos"/>
      </rPr>
      <t>federal + non-federal</t>
    </r>
    <r>
      <rPr>
        <sz val="12"/>
        <color theme="1"/>
        <rFont val="Aptos"/>
      </rPr>
      <t>.</t>
    </r>
  </si>
  <si>
    <r>
      <rPr>
        <b/>
        <sz val="12"/>
        <color theme="1"/>
        <rFont val="Aptos"/>
      </rPr>
      <t>SEA GRANT / FEDERAL FUNDS</t>
    </r>
    <r>
      <rPr>
        <sz val="12"/>
        <color theme="1"/>
        <rFont val="Aptos"/>
      </rPr>
      <t>— Total salaries + fringe—</t>
    </r>
    <r>
      <rPr>
        <b/>
        <sz val="12"/>
        <color theme="1"/>
        <rFont val="Aptos"/>
      </rPr>
      <t>federal funds only</t>
    </r>
    <r>
      <rPr>
        <sz val="12"/>
        <color theme="1"/>
        <rFont val="Aptos"/>
      </rPr>
      <t>.</t>
    </r>
  </si>
  <si>
    <r>
      <rPr>
        <b/>
        <sz val="12"/>
        <color theme="1"/>
        <rFont val="Aptos"/>
      </rPr>
      <t>MATCH / NON-FEDERAL FUNDS</t>
    </r>
    <r>
      <rPr>
        <sz val="12"/>
        <color theme="1"/>
        <rFont val="Aptos"/>
      </rPr>
      <t>— Total salaries + fringe—</t>
    </r>
    <r>
      <rPr>
        <b/>
        <sz val="12"/>
        <color theme="1"/>
        <rFont val="Aptos"/>
      </rPr>
      <t>non-federal funds only</t>
    </r>
    <r>
      <rPr>
        <sz val="12"/>
        <color theme="1"/>
        <rFont val="Aptos"/>
      </rPr>
      <t>.</t>
    </r>
  </si>
  <si>
    <r>
      <rPr>
        <b/>
        <sz val="12"/>
        <color theme="1"/>
        <rFont val="Aptos"/>
      </rPr>
      <t>C. PERMANENT EQUIPMENT</t>
    </r>
    <r>
      <rPr>
        <sz val="12"/>
        <color theme="1"/>
        <rFont val="Aptos"/>
      </rPr>
      <t xml:space="preserve">—see </t>
    </r>
    <r>
      <rPr>
        <i/>
        <sz val="12"/>
        <color theme="1"/>
        <rFont val="Aptos"/>
      </rPr>
      <t>Uniform Guidance for Federal Awards</t>
    </r>
    <r>
      <rPr>
        <sz val="12"/>
        <color theme="1"/>
        <rFont val="Aptos"/>
      </rPr>
      <t xml:space="preserve"> for details. This category is NOT included in Modified Direct Costs (e.g., it is not subject to indirect costs).</t>
    </r>
  </si>
  <si>
    <r>
      <rPr>
        <b/>
        <sz val="12"/>
        <color theme="1"/>
        <rFont val="Aptos"/>
      </rPr>
      <t>E. PARTICIPANT / TRAINEE SUPPORT COSTS</t>
    </r>
    <r>
      <rPr>
        <sz val="12"/>
        <color theme="1"/>
        <rFont val="Aptos"/>
      </rPr>
      <t>—</t>
    </r>
    <r>
      <rPr>
        <i/>
        <sz val="12"/>
        <color theme="1"/>
        <rFont val="Aptos"/>
      </rPr>
      <t>see Uniform Guidance for Federal Awards</t>
    </r>
    <r>
      <rPr>
        <sz val="12"/>
        <color theme="1"/>
        <rFont val="Aptos"/>
      </rPr>
      <t xml:space="preserve"> for details. This category is NOT included in Modified Direct Costs (e.g., it is not subject to indirect costs).</t>
    </r>
  </si>
  <si>
    <r>
      <rPr>
        <b/>
        <sz val="12"/>
        <color theme="1"/>
        <rFont val="Aptos"/>
      </rPr>
      <t>F. 5) SUBAWARDS</t>
    </r>
    <r>
      <rPr>
        <sz val="12"/>
        <color theme="1"/>
        <rFont val="Aptos"/>
      </rPr>
      <t>: The default is 3 subaward options; 3 additional subawards can be accessed by clicking SHOW FUNCTIONS and Show Xtra Subs buttons.</t>
    </r>
  </si>
  <si>
    <r>
      <rPr>
        <b/>
        <sz val="12"/>
        <color theme="1"/>
        <rFont val="Aptos"/>
      </rPr>
      <t>FED SUB­</t>
    </r>
    <r>
      <rPr>
        <sz val="12"/>
        <color theme="1"/>
        <rFont val="Aptos"/>
      </rPr>
      <t>—Total amount of federal funds in the subaward.</t>
    </r>
  </si>
  <si>
    <r>
      <rPr>
        <b/>
        <sz val="12"/>
        <color theme="1"/>
        <rFont val="Aptos"/>
      </rPr>
      <t>IDC APPLY</t>
    </r>
    <r>
      <rPr>
        <sz val="12"/>
        <color theme="1"/>
        <rFont val="Aptos"/>
      </rPr>
      <t xml:space="preserve">—Amount of federal funds subject to indirect cost rate set in H. Indirect Costs budget section. </t>
    </r>
  </si>
  <si>
    <r>
      <rPr>
        <b/>
        <sz val="12"/>
        <color theme="1"/>
        <rFont val="Aptos"/>
      </rPr>
      <t>NON-FED SUB</t>
    </r>
    <r>
      <rPr>
        <sz val="12"/>
        <color theme="1"/>
        <rFont val="Aptos"/>
      </rPr>
      <t>—Total amount of non-federal funds (match) in the subaward.</t>
    </r>
  </si>
  <si>
    <r>
      <rPr>
        <b/>
        <sz val="12"/>
        <color theme="1"/>
        <rFont val="Aptos"/>
      </rPr>
      <t>IDC APPLY</t>
    </r>
    <r>
      <rPr>
        <sz val="12"/>
        <color theme="1"/>
        <rFont val="Aptos"/>
      </rPr>
      <t>—Amount of non-federal funds subject to indirect cost rate set in H. Indirect Costs budget section.</t>
    </r>
  </si>
  <si>
    <r>
      <rPr>
        <b/>
        <sz val="12"/>
        <color theme="1"/>
        <rFont val="Aptos"/>
      </rPr>
      <t>F. 8) TUITION NOT SUBJECT TO INDIRECT­</t>
    </r>
    <r>
      <rPr>
        <sz val="12"/>
        <color theme="1"/>
        <rFont val="Aptos"/>
      </rPr>
      <t>—Total of tuition for supported students. This category is NOT included in Modified Direct Costs (e.g., it is not subject to indirect costs).</t>
    </r>
  </si>
  <si>
    <r>
      <rPr>
        <b/>
        <sz val="12"/>
        <color theme="1"/>
        <rFont val="Aptos"/>
      </rPr>
      <t>F. 9) OTHER NOT SUBJECT TO INDIRECT</t>
    </r>
    <r>
      <rPr>
        <sz val="12"/>
        <color theme="1"/>
        <rFont val="Aptos"/>
      </rPr>
      <t>—A budget line that can include other items that are not subject to indirect costs. This category is NOT included in Modified Direct Costs (e.g., it is not subject to indirect costs).</t>
    </r>
  </si>
  <si>
    <r>
      <rPr>
        <b/>
        <sz val="12"/>
        <color theme="1"/>
        <rFont val="Aptos"/>
      </rPr>
      <t>MODIFIED DIRECT COSTS</t>
    </r>
    <r>
      <rPr>
        <sz val="12"/>
        <color theme="1"/>
        <rFont val="Aptos"/>
      </rPr>
      <t>—The total of all budget costs that are subject to indirect costs. C. Permanent Equipment, E. Participant Support, F. 5) Subaward costs not subject to indirect, F. 8) Tuition, and F. 9) Other Not Subject to Indirect, are not included in this total.</t>
    </r>
  </si>
  <si>
    <r>
      <rPr>
        <sz val="12"/>
        <color theme="1"/>
        <rFont val="Aptos"/>
      </rPr>
      <t xml:space="preserve">H. </t>
    </r>
    <r>
      <rPr>
        <b/>
        <sz val="12"/>
        <color theme="1"/>
        <rFont val="Aptos"/>
      </rPr>
      <t>INDIRECT COSTS</t>
    </r>
    <r>
      <rPr>
        <sz val="12"/>
        <color theme="1"/>
        <rFont val="Aptos"/>
      </rPr>
      <t>—Indirect cost applied to the Modified Direct Cost total using the Indirect Cost Rates provided in H. 1), 2), and 3).</t>
    </r>
  </si>
  <si>
    <r>
      <rPr>
        <b/>
        <sz val="12"/>
        <color theme="1"/>
        <rFont val="Aptos"/>
      </rPr>
      <t>SG%</t>
    </r>
    <r>
      <rPr>
        <sz val="12"/>
        <color theme="1"/>
        <rFont val="Aptos"/>
      </rPr>
      <t>—The indirect cost rate used by the Sea Grant program.</t>
    </r>
  </si>
  <si>
    <r>
      <rPr>
        <b/>
        <sz val="12"/>
        <color theme="1"/>
        <rFont val="Aptos"/>
      </rPr>
      <t>Inst%</t>
    </r>
    <r>
      <rPr>
        <sz val="12"/>
        <color theme="1"/>
        <rFont val="Aptos"/>
      </rPr>
      <t>—The indirect cost rate used by the host institution for non-Sea Grant projects.</t>
    </r>
  </si>
  <si>
    <r>
      <rPr>
        <b/>
        <sz val="12"/>
        <color theme="1"/>
        <rFont val="Aptos"/>
      </rPr>
      <t>WAIVED $</t>
    </r>
    <r>
      <rPr>
        <sz val="12"/>
        <color theme="1"/>
        <rFont val="Aptos"/>
      </rPr>
      <t>—The indirect costs not charged by the host institution for Sea Grant projects (e.g., Inst% - SG% = waived) can be claimed as match. If SG% = Inst% then there is no waived indirect costs to claim as match.</t>
    </r>
  </si>
  <si>
    <t>The above items are locked by default and can be accessed by clicking SHOW FUNCTIONS and Unlock Modified Direct &amp; H. Indirect Costs buttons.</t>
  </si>
  <si>
    <t>Fringe Benefit Rates Table</t>
  </si>
  <si>
    <t>key person/personnel</t>
  </si>
  <si>
    <t>fringe %</t>
  </si>
  <si>
    <t>notes</t>
  </si>
  <si>
    <t>Key Person 1-12 is autofilled from 90-4 Adapted budget; 13-24 open for user input. No budget calculations are altered by use of this table</t>
  </si>
  <si>
    <r>
      <rPr>
        <b/>
        <sz val="10"/>
        <color theme="1"/>
        <rFont val="Arial"/>
      </rPr>
      <t xml:space="preserve">
SEA GRANT BUDGET FORM 90-4</t>
    </r>
    <r>
      <rPr>
        <sz val="11"/>
        <color theme="1"/>
        <rFont val="Calibri"/>
      </rPr>
      <t xml:space="preserve">
(Continued)
</t>
    </r>
    <r>
      <rPr>
        <b/>
        <sz val="10"/>
        <color theme="1"/>
        <rFont val="Arial"/>
      </rPr>
      <t xml:space="preserve">
PAPERWORK REDUCTION ACT, PRIVACY ACT, AND PUBLIC BURDEN</t>
    </r>
    <r>
      <rPr>
        <sz val="11"/>
        <color theme="1"/>
        <rFont val="Calibri"/>
      </rPr>
      <t xml:space="preserve">
NOAA's National Sea Grant College Program exists to increase the understanding, assessment, development, utilization, and conservation of the Nation's ocean, coastal, and Great Lakes resources. It does this by providing grant monies to promote a strong educational base, responsive research, and training. The information requested on this form is required in order to be considered for an award under the authority of the National Sea Grant College Act, as amended. The information will be used to determine the cost of each project and whether proposed matching costs are allowable. The information is also used in negotiating costs and in the administrative control of expenditures. The information requested may be disclosed to qualified reviewers and staff assistants as part of the application review process; to applicant institutions/grantees to provide or obtain data regarding the application review process, award decisions, or the administration of awards; to government contractors, experts, volunteers and researchers as necessary to complete assigned work; to other government agencies needing information as part of the review process or in order to coordinate programs; and to another Federal agency, court or party in a court or Federal administrative proceeding if the Government is a party. Notwithstanding any other provision of the law, no person is required to respond to, nor shall any person be subject to a penalty for failure to comply with, a collection of information subject to the requirements of the Paperwork Reduction Act, unless that collection of information displays a currently valid OMB Control Number.
A Federal agency may not conduct or sponsor, and a person is not required to respond to, nor shall a person be subject to a penalty
for failure to comply with an information collection subject to the requirements of the Paperwork Reduction Act of 1995 unless the
information collection has a currently valid OMB Control Number. The approved OMB Control Number for this information
collection is 0648-0362. Without this approval, we could not conduct this information collection. Public reporting for this
information collection is estimated to be approximately 30 minutes/hours per response, including the time for reviewing
instructions, searching existing data sources, gathering and maintaining the data needed, and completing and reviewing the
information collection. All responses to this information collection are required to obtain benefits. Send comments regarding this
burden estimate or any other aspect of this information collection, including suggestions for reducing this burden to the National
Sea Grant College Program, R/SG, NOAA, 1315 East-West Highway, Silver Spring, MD 20910 (Attn: Paperwork Reduction Act -
Chelsea Berg). 
</t>
    </r>
  </si>
  <si>
    <t>AK</t>
  </si>
  <si>
    <t>SELECT BUDGET TYPE</t>
  </si>
  <si>
    <t>CT</t>
  </si>
  <si>
    <t>DE</t>
  </si>
  <si>
    <t>Subaward Budget</t>
  </si>
  <si>
    <t>FL</t>
  </si>
  <si>
    <t>GA</t>
  </si>
  <si>
    <t>GU</t>
  </si>
  <si>
    <t>HI</t>
  </si>
  <si>
    <t>IL-IN</t>
  </si>
  <si>
    <t>LA</t>
  </si>
  <si>
    <t>LC</t>
  </si>
  <si>
    <t>MD</t>
  </si>
  <si>
    <t>ME</t>
  </si>
  <si>
    <t>MIT</t>
  </si>
  <si>
    <t>MN</t>
  </si>
  <si>
    <t>MS-AL</t>
  </si>
  <si>
    <t>NC</t>
  </si>
  <si>
    <t>NH</t>
  </si>
  <si>
    <t>NJ</t>
  </si>
  <si>
    <t>NSGLC</t>
  </si>
  <si>
    <t>NY</t>
  </si>
  <si>
    <t>OH</t>
  </si>
  <si>
    <t>OR</t>
  </si>
  <si>
    <t>PA</t>
  </si>
  <si>
    <t>PR</t>
  </si>
  <si>
    <t>RI</t>
  </si>
  <si>
    <t>SC</t>
  </si>
  <si>
    <t>TX</t>
  </si>
  <si>
    <t>USC</t>
  </si>
  <si>
    <t>UCSD</t>
  </si>
  <si>
    <t>VA</t>
  </si>
  <si>
    <t>WA</t>
  </si>
  <si>
    <t>WHOI</t>
  </si>
  <si>
    <t>WI</t>
  </si>
  <si>
    <t>Other</t>
  </si>
  <si>
    <t>non-SG</t>
  </si>
  <si>
    <t>Faculty academic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</si>
</sst>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0.00_);\(0.00\)"/>
  </numFmts>
  <fonts count="27" x14ac:knownFonts="1">
    <font>
      <sz val="11"/>
      <color theme="1"/>
      <name val="Calibri"/>
      <scheme val="minor"/>
    </font>
    <font>
      <sz val="10"/>
      <color theme="1"/>
      <name val="Calibri"/>
    </font>
    <font>
      <sz val="11"/>
      <name val="Calibri"/>
    </font>
    <font>
      <vertAlign val="superscript"/>
      <sz val="10"/>
      <color theme="1"/>
      <name val="Calibri"/>
    </font>
    <font>
      <vertAlign val="superscript"/>
      <sz val="10"/>
      <color theme="1"/>
      <name val="Calibri"/>
    </font>
    <font>
      <vertAlign val="superscript"/>
      <sz val="10"/>
      <color theme="1"/>
      <name val="Calibri"/>
    </font>
    <font>
      <sz val="11"/>
      <color theme="1"/>
      <name val="Calibri"/>
    </font>
    <font>
      <b/>
      <sz val="10"/>
      <color theme="1"/>
      <name val="Calibri"/>
    </font>
    <font>
      <sz val="9"/>
      <color theme="1"/>
      <name val="Calibri"/>
    </font>
    <font>
      <sz val="10"/>
      <color theme="0"/>
      <name val="Calibri"/>
    </font>
    <font>
      <sz val="12"/>
      <color theme="1"/>
      <name val="Aptos"/>
    </font>
    <font>
      <sz val="12"/>
      <color theme="0"/>
      <name val="Aptos"/>
    </font>
    <font>
      <i/>
      <sz val="12"/>
      <color theme="1"/>
      <name val="Aptos"/>
    </font>
    <font>
      <b/>
      <sz val="12"/>
      <color theme="1"/>
      <name val="Aptos"/>
    </font>
    <font>
      <b/>
      <sz val="14"/>
      <color theme="0"/>
      <name val="Aptos"/>
    </font>
    <font>
      <b/>
      <sz val="11"/>
      <color theme="1"/>
      <name val="Calibri"/>
    </font>
    <font>
      <sz val="11"/>
      <color rgb="FF000000"/>
      <name val="Calibri"/>
    </font>
    <font>
      <sz val="11"/>
      <color theme="1"/>
      <name val="Calibri"/>
      <scheme val="minor"/>
    </font>
    <font>
      <sz val="12"/>
      <color rgb="FF000000"/>
      <name val="Calibri"/>
    </font>
    <font>
      <b/>
      <i/>
      <sz val="14"/>
      <color rgb="FFFFFF00"/>
      <name val="Aptos"/>
    </font>
    <font>
      <b/>
      <sz val="28"/>
      <color rgb="FFFFFF00"/>
      <name val="Aptos"/>
    </font>
    <font>
      <b/>
      <sz val="20"/>
      <color theme="0"/>
      <name val="Aptos"/>
    </font>
    <font>
      <sz val="14"/>
      <color theme="0"/>
      <name val="Aptos"/>
    </font>
    <font>
      <b/>
      <sz val="16"/>
      <color theme="1"/>
      <name val="Aptos"/>
    </font>
    <font>
      <b/>
      <sz val="10"/>
      <color theme="1"/>
      <name val="Arial"/>
    </font>
    <font>
      <sz val="11"/>
      <color rgb="FF000000"/>
      <name val="Calibri"/>
      <family val="2"/>
    </font>
    <font>
      <sz val="10"/>
      <color theme="1"/>
      <name val="Calibri"/>
      <family val="2"/>
    </font>
  </fonts>
  <fills count="9">
    <fill>
      <patternFill patternType="none"/>
    </fill>
    <fill>
      <patternFill patternType="gray125"/>
    </fill>
    <fill>
      <patternFill patternType="solid">
        <fgColor rgb="FFFFFFFF"/>
        <bgColor rgb="FFFFFFFF"/>
      </patternFill>
    </fill>
    <fill>
      <patternFill patternType="solid">
        <fgColor rgb="FFFFFF00"/>
        <bgColor rgb="FFFFFF00"/>
      </patternFill>
    </fill>
    <fill>
      <patternFill patternType="solid">
        <fgColor rgb="FFC0C0C0"/>
        <bgColor rgb="FFC0C0C0"/>
      </patternFill>
    </fill>
    <fill>
      <patternFill patternType="solid">
        <fgColor rgb="FFD9E2F3"/>
        <bgColor rgb="FFD9E2F3"/>
      </patternFill>
    </fill>
    <fill>
      <patternFill patternType="solid">
        <fgColor theme="0"/>
        <bgColor theme="0"/>
      </patternFill>
    </fill>
    <fill>
      <patternFill patternType="solid">
        <fgColor rgb="FFBFBFBF"/>
        <bgColor rgb="FFBFBFBF"/>
      </patternFill>
    </fill>
    <fill>
      <patternFill patternType="solid">
        <fgColor theme="1"/>
        <bgColor theme="1"/>
      </patternFill>
    </fill>
  </fills>
  <borders count="97">
    <border>
      <left/>
      <right/>
      <top/>
      <bottom/>
      <diagonal/>
    </border>
    <border>
      <left/>
      <right/>
      <top style="thin">
        <color rgb="FFD8D8D8"/>
      </top>
      <bottom/>
      <diagonal/>
    </border>
    <border>
      <left/>
      <right/>
      <top style="thin">
        <color rgb="FFD8D8D8"/>
      </top>
      <bottom/>
      <diagonal/>
    </border>
    <border>
      <left/>
      <right/>
      <top style="thin">
        <color rgb="FFD8D8D8"/>
      </top>
      <bottom/>
      <diagonal/>
    </border>
    <border>
      <left style="thin">
        <color rgb="FFD8D8D8"/>
      </left>
      <right style="thin">
        <color rgb="FFD8D8D8"/>
      </right>
      <top style="thin">
        <color rgb="FFD8D8D8"/>
      </top>
      <bottom style="thin">
        <color rgb="FFD8D8D8"/>
      </bottom>
      <diagonal/>
    </border>
    <border>
      <left style="thin">
        <color rgb="FFD8D8D8"/>
      </left>
      <right style="thin">
        <color rgb="FFD8D8D8"/>
      </right>
      <top/>
      <bottom style="thin">
        <color rgb="FFD8D8D8"/>
      </bottom>
      <diagonal/>
    </border>
    <border>
      <left/>
      <right/>
      <top/>
      <bottom/>
      <diagonal/>
    </border>
    <border>
      <left/>
      <right/>
      <top/>
      <bottom/>
      <diagonal/>
    </border>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diagonal/>
    </border>
    <border>
      <left/>
      <right/>
      <top style="thin">
        <color rgb="FF000000"/>
      </top>
      <bottom style="thin">
        <color rgb="FF000000"/>
      </bottom>
      <diagonal/>
    </border>
    <border>
      <left/>
      <right/>
      <top style="thin">
        <color rgb="FF000000"/>
      </top>
      <bottom style="thin">
        <color rgb="FF000000"/>
      </bottom>
      <diagonal/>
    </border>
    <border>
      <left/>
      <right style="thin">
        <color rgb="FFD8D8D8"/>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top/>
      <bottom/>
      <diagonal/>
    </border>
    <border>
      <left/>
      <right style="medium">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bottom/>
      <diagonal/>
    </border>
    <border>
      <left/>
      <right style="thin">
        <color rgb="FF000000"/>
      </right>
      <top/>
      <bottom/>
      <diagonal/>
    </border>
    <border>
      <left style="medium">
        <color rgb="FF000000"/>
      </left>
      <right style="thin">
        <color rgb="FF000000"/>
      </right>
      <top/>
      <bottom/>
      <diagonal/>
    </border>
    <border>
      <left style="thin">
        <color rgb="FF000000"/>
      </left>
      <right style="thin">
        <color rgb="FF000000"/>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top style="medium">
        <color rgb="FF000000"/>
      </top>
      <bottom/>
      <diagonal/>
    </border>
    <border>
      <left/>
      <right style="medium">
        <color rgb="FF000000"/>
      </right>
      <top style="medium">
        <color rgb="FF000000"/>
      </top>
      <bottom/>
      <diagonal/>
    </border>
    <border>
      <left/>
      <right style="thin">
        <color rgb="FF000000"/>
      </right>
      <top/>
      <bottom style="thin">
        <color rgb="FF000000"/>
      </bottom>
      <diagonal/>
    </border>
    <border>
      <left style="thin">
        <color rgb="FF000000"/>
      </left>
      <right style="medium">
        <color rgb="FF000000"/>
      </right>
      <top/>
      <bottom style="thin">
        <color rgb="FF000000"/>
      </bottom>
      <diagonal/>
    </border>
    <border>
      <left/>
      <right style="medium">
        <color rgb="FF000000"/>
      </right>
      <top style="medium">
        <color rgb="FF000000"/>
      </top>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style="medium">
        <color rgb="FF000000"/>
      </right>
      <top/>
      <bottom style="thin">
        <color rgb="FF000000"/>
      </bottom>
      <diagonal/>
    </border>
    <border>
      <left/>
      <right style="medium">
        <color rgb="FF000000"/>
      </right>
      <top/>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top style="thin">
        <color rgb="FF000000"/>
      </top>
      <bottom/>
      <diagonal/>
    </border>
    <border>
      <left/>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style="thin">
        <color rgb="FF000000"/>
      </right>
      <top style="medium">
        <color rgb="FF000000"/>
      </top>
      <bottom style="thin">
        <color rgb="FF000000"/>
      </bottom>
      <diagonal/>
    </border>
    <border>
      <left/>
      <right/>
      <top/>
      <bottom style="thin">
        <color rgb="FF000000"/>
      </bottom>
      <diagonal/>
    </border>
    <border>
      <left/>
      <right/>
      <top style="thin">
        <color rgb="FF000000"/>
      </top>
      <bottom/>
      <diagonal/>
    </border>
    <border>
      <left/>
      <right/>
      <top style="thin">
        <color rgb="FF000000"/>
      </top>
      <bottom/>
      <diagonal/>
    </border>
    <border>
      <left/>
      <right/>
      <top style="medium">
        <color rgb="FF000000"/>
      </top>
      <bottom/>
      <diagonal/>
    </border>
    <border>
      <left/>
      <right/>
      <top style="medium">
        <color rgb="FF000000"/>
      </top>
      <bottom/>
      <diagonal/>
    </border>
    <border>
      <left/>
      <right style="medium">
        <color rgb="FF000000"/>
      </right>
      <top/>
      <bottom/>
      <diagonal/>
    </border>
    <border>
      <left/>
      <right/>
      <top style="thin">
        <color rgb="FF000000"/>
      </top>
      <bottom style="medium">
        <color rgb="FF000000"/>
      </bottom>
      <diagonal/>
    </border>
    <border>
      <left/>
      <right/>
      <top/>
      <bottom style="thin">
        <color rgb="FF000000"/>
      </bottom>
      <diagonal/>
    </border>
    <border>
      <left/>
      <right/>
      <top style="thin">
        <color rgb="FF000000"/>
      </top>
      <bottom/>
      <diagonal/>
    </border>
    <border>
      <left/>
      <right style="medium">
        <color rgb="FF000000"/>
      </right>
      <top style="thin">
        <color rgb="FF000000"/>
      </top>
      <bottom/>
      <diagonal/>
    </border>
    <border>
      <left/>
      <right style="medium">
        <color rgb="FF000000"/>
      </right>
      <top style="thin">
        <color rgb="FF000000"/>
      </top>
      <bottom/>
      <diagonal/>
    </border>
    <border>
      <left style="thin">
        <color rgb="FF000000"/>
      </left>
      <right style="thin">
        <color rgb="FF000000"/>
      </right>
      <top style="thin">
        <color rgb="FF000000"/>
      </top>
      <bottom/>
      <diagonal/>
    </border>
    <border>
      <left style="medium">
        <color rgb="FF000000"/>
      </left>
      <right style="thin">
        <color rgb="FF000000"/>
      </right>
      <top style="thin">
        <color rgb="FF000000"/>
      </top>
      <bottom style="thin">
        <color theme="1"/>
      </bottom>
      <diagonal/>
    </border>
    <border>
      <left/>
      <right/>
      <top style="thin">
        <color rgb="FF000000"/>
      </top>
      <bottom style="thin">
        <color theme="1"/>
      </bottom>
      <diagonal/>
    </border>
    <border>
      <left style="thin">
        <color rgb="FF000000"/>
      </left>
      <right style="thin">
        <color rgb="FF000000"/>
      </right>
      <top style="thin">
        <color rgb="FF000000"/>
      </top>
      <bottom style="thin">
        <color theme="1"/>
      </bottom>
      <diagonal/>
    </border>
    <border>
      <left/>
      <right style="medium">
        <color rgb="FF000000"/>
      </right>
      <top style="thin">
        <color rgb="FF000000"/>
      </top>
      <bottom style="thin">
        <color theme="1"/>
      </bottom>
      <diagonal/>
    </border>
    <border>
      <left/>
      <right style="thin">
        <color rgb="FF000000"/>
      </right>
      <top/>
      <bottom/>
      <diagonal/>
    </border>
    <border>
      <left style="thin">
        <color rgb="FF000000"/>
      </left>
      <right style="thin">
        <color rgb="FF000000"/>
      </right>
      <top/>
      <bottom/>
      <diagonal/>
    </border>
    <border>
      <left/>
      <right style="thin">
        <color rgb="FF000000"/>
      </right>
      <top/>
      <bottom style="thin">
        <color rgb="FF000000"/>
      </bottom>
      <diagonal/>
    </border>
    <border>
      <left style="thin">
        <color rgb="FF000000"/>
      </left>
      <right style="medium">
        <color rgb="FF000000"/>
      </right>
      <top/>
      <bottom style="thin">
        <color rgb="FF000000"/>
      </bottom>
      <diagonal/>
    </border>
    <border>
      <left/>
      <right/>
      <top style="thin">
        <color rgb="FF000000"/>
      </top>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top style="medium">
        <color rgb="FF000000"/>
      </top>
      <bottom style="thin">
        <color rgb="FF000000"/>
      </bottom>
      <diagonal/>
    </border>
    <border>
      <left/>
      <right/>
      <top style="medium">
        <color rgb="FF000000"/>
      </top>
      <bottom style="thin">
        <color rgb="FF000000"/>
      </bottom>
      <diagonal/>
    </border>
    <border>
      <left/>
      <right/>
      <top style="medium">
        <color rgb="FF000000"/>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style="thin">
        <color rgb="FF000000"/>
      </top>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bottom style="medium">
        <color rgb="FF000000"/>
      </bottom>
      <diagonal/>
    </border>
    <border>
      <left/>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s>
  <cellStyleXfs count="1">
    <xf numFmtId="0" fontId="0" fillId="0" borderId="0"/>
  </cellStyleXfs>
  <cellXfs count="247">
    <xf numFmtId="0" fontId="0" fillId="0" borderId="0" xfId="0"/>
    <xf numFmtId="0" fontId="1" fillId="0" borderId="0" xfId="0" applyFont="1" applyAlignment="1">
      <alignment vertical="top"/>
    </xf>
    <xf numFmtId="0" fontId="1" fillId="2" borderId="3" xfId="0" applyFont="1" applyFill="1" applyBorder="1" applyAlignment="1">
      <alignment vertical="top"/>
    </xf>
    <xf numFmtId="0" fontId="3" fillId="2" borderId="3" xfId="0" applyFont="1" applyFill="1" applyBorder="1" applyAlignment="1">
      <alignment horizontal="right" vertical="top"/>
    </xf>
    <xf numFmtId="0" fontId="4" fillId="2" borderId="4" xfId="0" applyFont="1" applyFill="1" applyBorder="1" applyAlignment="1">
      <alignment horizontal="left" vertical="top"/>
    </xf>
    <xf numFmtId="0" fontId="1" fillId="0" borderId="5" xfId="0" applyFont="1" applyBorder="1" applyAlignment="1">
      <alignment vertical="top"/>
    </xf>
    <xf numFmtId="0" fontId="1" fillId="2" borderId="8" xfId="0" applyFont="1" applyFill="1" applyBorder="1" applyAlignment="1">
      <alignment vertical="center"/>
    </xf>
    <xf numFmtId="0" fontId="1" fillId="2" borderId="8" xfId="0" applyFont="1" applyFill="1" applyBorder="1" applyAlignment="1">
      <alignment vertical="top"/>
    </xf>
    <xf numFmtId="0" fontId="5" fillId="2" borderId="8" xfId="0" applyFont="1" applyFill="1" applyBorder="1" applyAlignment="1">
      <alignment horizontal="right" vertical="top"/>
    </xf>
    <xf numFmtId="0" fontId="6" fillId="2" borderId="4" xfId="0" applyFont="1" applyFill="1" applyBorder="1" applyAlignment="1">
      <alignment vertical="top" wrapText="1"/>
    </xf>
    <xf numFmtId="0" fontId="1" fillId="0" borderId="4" xfId="0" applyFont="1" applyBorder="1" applyAlignment="1">
      <alignment vertical="top"/>
    </xf>
    <xf numFmtId="0" fontId="7" fillId="2" borderId="8" xfId="0" applyFont="1" applyFill="1" applyBorder="1" applyAlignment="1">
      <alignment vertical="top"/>
    </xf>
    <xf numFmtId="0" fontId="1" fillId="3" borderId="15" xfId="0" applyFont="1" applyFill="1" applyBorder="1" applyAlignment="1">
      <alignment vertical="top"/>
    </xf>
    <xf numFmtId="0" fontId="1" fillId="2" borderId="16" xfId="0" applyFont="1" applyFill="1" applyBorder="1" applyAlignment="1">
      <alignment vertical="top"/>
    </xf>
    <xf numFmtId="0" fontId="1" fillId="2" borderId="8" xfId="0" applyFont="1" applyFill="1" applyBorder="1" applyAlignment="1">
      <alignment horizontal="center" vertical="top"/>
    </xf>
    <xf numFmtId="0" fontId="7" fillId="0" borderId="4" xfId="0" applyFont="1" applyBorder="1" applyAlignment="1">
      <alignment vertical="top"/>
    </xf>
    <xf numFmtId="0" fontId="7" fillId="0" borderId="0" xfId="0" applyFont="1" applyAlignment="1">
      <alignment vertical="top"/>
    </xf>
    <xf numFmtId="0" fontId="1" fillId="3" borderId="15" xfId="0" applyFont="1" applyFill="1" applyBorder="1" applyAlignment="1">
      <alignment vertical="top" wrapText="1"/>
    </xf>
    <xf numFmtId="0" fontId="7" fillId="2" borderId="17" xfId="0" applyFont="1" applyFill="1" applyBorder="1" applyAlignment="1">
      <alignment vertical="top"/>
    </xf>
    <xf numFmtId="14" fontId="1" fillId="3" borderId="15" xfId="0" applyNumberFormat="1" applyFont="1" applyFill="1" applyBorder="1" applyAlignment="1">
      <alignment horizontal="center" vertical="top"/>
    </xf>
    <xf numFmtId="14" fontId="1" fillId="3" borderId="19" xfId="0" applyNumberFormat="1" applyFont="1" applyFill="1" applyBorder="1" applyAlignment="1">
      <alignment horizontal="center" vertical="top"/>
    </xf>
    <xf numFmtId="2" fontId="1" fillId="0" borderId="0" xfId="0" applyNumberFormat="1" applyFont="1" applyAlignment="1">
      <alignment vertical="top"/>
    </xf>
    <xf numFmtId="0" fontId="1" fillId="0" borderId="20" xfId="0" applyFont="1" applyBorder="1" applyAlignment="1">
      <alignment vertical="top"/>
    </xf>
    <xf numFmtId="0" fontId="8" fillId="2" borderId="15" xfId="0" applyFont="1" applyFill="1" applyBorder="1" applyAlignment="1">
      <alignment horizontal="right" vertical="center"/>
    </xf>
    <xf numFmtId="14" fontId="1" fillId="3" borderId="15" xfId="0" applyNumberFormat="1" applyFont="1" applyFill="1" applyBorder="1" applyAlignment="1">
      <alignment horizontal="center" vertical="center"/>
    </xf>
    <xf numFmtId="0" fontId="8" fillId="2" borderId="22" xfId="0" applyFont="1" applyFill="1" applyBorder="1" applyAlignment="1">
      <alignment horizontal="right" vertical="top"/>
    </xf>
    <xf numFmtId="0" fontId="8" fillId="2" borderId="15" xfId="0" applyFont="1" applyFill="1" applyBorder="1" applyAlignment="1">
      <alignment horizontal="right" vertical="top"/>
    </xf>
    <xf numFmtId="0" fontId="1" fillId="0" borderId="23" xfId="0" applyFont="1" applyBorder="1" applyAlignment="1">
      <alignment vertical="top"/>
    </xf>
    <xf numFmtId="0" fontId="8" fillId="0" borderId="15" xfId="0" applyFont="1" applyBorder="1" applyAlignment="1">
      <alignment horizontal="center" vertical="top" wrapText="1"/>
    </xf>
    <xf numFmtId="0" fontId="1" fillId="0" borderId="15" xfId="0" applyFont="1" applyBorder="1" applyAlignment="1">
      <alignment horizontal="center" vertical="top" wrapText="1"/>
    </xf>
    <xf numFmtId="0" fontId="1" fillId="0" borderId="19" xfId="0" applyFont="1" applyBorder="1" applyAlignment="1">
      <alignment horizontal="center" vertical="top" wrapText="1"/>
    </xf>
    <xf numFmtId="0" fontId="8" fillId="0" borderId="10" xfId="0" applyFont="1" applyBorder="1" applyAlignment="1">
      <alignment horizontal="center" vertical="top" wrapText="1"/>
    </xf>
    <xf numFmtId="0" fontId="1" fillId="0" borderId="9" xfId="0" applyFont="1" applyBorder="1" applyAlignment="1">
      <alignment horizontal="center" vertical="top" wrapText="1"/>
    </xf>
    <xf numFmtId="0" fontId="8" fillId="0" borderId="25" xfId="0" applyFont="1" applyBorder="1" applyAlignment="1">
      <alignment horizontal="center" vertical="top" wrapText="1"/>
    </xf>
    <xf numFmtId="0" fontId="8" fillId="0" borderId="26" xfId="0" applyFont="1" applyBorder="1" applyAlignment="1">
      <alignment horizontal="center" vertical="top" wrapText="1"/>
    </xf>
    <xf numFmtId="164" fontId="1" fillId="4" borderId="29" xfId="0" applyNumberFormat="1" applyFont="1" applyFill="1" applyBorder="1" applyAlignment="1">
      <alignment horizontal="center" vertical="top"/>
    </xf>
    <xf numFmtId="164" fontId="1" fillId="4" borderId="15" xfId="0" applyNumberFormat="1" applyFont="1" applyFill="1" applyBorder="1" applyAlignment="1">
      <alignment horizontal="center" vertical="top"/>
    </xf>
    <xf numFmtId="164" fontId="1" fillId="4" borderId="19" xfId="0" applyNumberFormat="1" applyFont="1" applyFill="1" applyBorder="1" applyAlignment="1">
      <alignment horizontal="center" vertical="top"/>
    </xf>
    <xf numFmtId="164" fontId="1" fillId="4" borderId="22" xfId="0" applyNumberFormat="1" applyFont="1" applyFill="1" applyBorder="1" applyAlignment="1">
      <alignment horizontal="center" vertical="top"/>
    </xf>
    <xf numFmtId="164" fontId="1" fillId="4" borderId="16" xfId="0" applyNumberFormat="1" applyFont="1" applyFill="1" applyBorder="1" applyAlignment="1">
      <alignment horizontal="center" vertical="top"/>
    </xf>
    <xf numFmtId="164" fontId="1" fillId="0" borderId="25" xfId="0" applyNumberFormat="1" applyFont="1" applyBorder="1" applyAlignment="1">
      <alignment horizontal="center" vertical="top"/>
    </xf>
    <xf numFmtId="165" fontId="1" fillId="4" borderId="15" xfId="0" applyNumberFormat="1" applyFont="1" applyFill="1" applyBorder="1" applyAlignment="1">
      <alignment horizontal="center" vertical="top" shrinkToFit="1"/>
    </xf>
    <xf numFmtId="0" fontId="1" fillId="2" borderId="17" xfId="0" applyFont="1" applyFill="1" applyBorder="1" applyAlignment="1">
      <alignment vertical="top"/>
    </xf>
    <xf numFmtId="0" fontId="1" fillId="2" borderId="22" xfId="0" applyFont="1" applyFill="1" applyBorder="1" applyAlignment="1">
      <alignment vertical="top"/>
    </xf>
    <xf numFmtId="0" fontId="1" fillId="5" borderId="15" xfId="0" applyFont="1" applyFill="1" applyBorder="1" applyAlignment="1">
      <alignment horizontal="center" vertical="top"/>
    </xf>
    <xf numFmtId="2" fontId="1" fillId="5" borderId="15" xfId="0" applyNumberFormat="1" applyFont="1" applyFill="1" applyBorder="1" applyAlignment="1">
      <alignment horizontal="center" vertical="top" shrinkToFit="1"/>
    </xf>
    <xf numFmtId="164" fontId="1" fillId="5" borderId="15" xfId="0" applyNumberFormat="1" applyFont="1" applyFill="1" applyBorder="1" applyAlignment="1">
      <alignment horizontal="right" vertical="top" shrinkToFit="1"/>
    </xf>
    <xf numFmtId="0" fontId="1" fillId="0" borderId="25" xfId="0" applyFont="1" applyBorder="1" applyAlignment="1">
      <alignment horizontal="center" vertical="top"/>
    </xf>
    <xf numFmtId="165" fontId="1" fillId="5" borderId="15" xfId="0" applyNumberFormat="1" applyFont="1" applyFill="1" applyBorder="1" applyAlignment="1">
      <alignment horizontal="center" vertical="top" shrinkToFit="1"/>
    </xf>
    <xf numFmtId="164" fontId="1" fillId="5" borderId="15" xfId="0" applyNumberFormat="1" applyFont="1" applyFill="1" applyBorder="1" applyAlignment="1">
      <alignment horizontal="center" vertical="top"/>
    </xf>
    <xf numFmtId="0" fontId="1" fillId="0" borderId="10" xfId="0" applyFont="1" applyBorder="1" applyAlignment="1">
      <alignment vertical="top"/>
    </xf>
    <xf numFmtId="0" fontId="1" fillId="3" borderId="22" xfId="0" applyFont="1" applyFill="1" applyBorder="1" applyAlignment="1">
      <alignment horizontal="right" vertical="top"/>
    </xf>
    <xf numFmtId="0" fontId="1" fillId="0" borderId="15" xfId="0" applyFont="1" applyBorder="1" applyAlignment="1">
      <alignment horizontal="center" vertical="top"/>
    </xf>
    <xf numFmtId="2" fontId="1" fillId="3" borderId="15" xfId="0" applyNumberFormat="1" applyFont="1" applyFill="1" applyBorder="1" applyAlignment="1">
      <alignment horizontal="center" vertical="top" shrinkToFit="1"/>
    </xf>
    <xf numFmtId="164" fontId="1" fillId="3" borderId="15" xfId="0" applyNumberFormat="1" applyFont="1" applyFill="1" applyBorder="1" applyAlignment="1">
      <alignment horizontal="right" vertical="top" shrinkToFit="1"/>
    </xf>
    <xf numFmtId="164" fontId="1" fillId="3" borderId="15" xfId="0" applyNumberFormat="1" applyFont="1" applyFill="1" applyBorder="1" applyAlignment="1">
      <alignment horizontal="center" vertical="top"/>
    </xf>
    <xf numFmtId="164" fontId="1" fillId="3" borderId="19" xfId="0" applyNumberFormat="1" applyFont="1" applyFill="1" applyBorder="1" applyAlignment="1">
      <alignment horizontal="center" vertical="top"/>
    </xf>
    <xf numFmtId="0" fontId="1" fillId="0" borderId="10" xfId="0" applyFont="1" applyBorder="1" applyAlignment="1">
      <alignment horizontal="center" vertical="top"/>
    </xf>
    <xf numFmtId="164" fontId="1" fillId="3" borderId="16" xfId="0" applyNumberFormat="1" applyFont="1" applyFill="1" applyBorder="1" applyAlignment="1">
      <alignment horizontal="center" vertical="top"/>
    </xf>
    <xf numFmtId="164" fontId="1" fillId="4" borderId="30" xfId="0" applyNumberFormat="1" applyFont="1" applyFill="1" applyBorder="1" applyAlignment="1">
      <alignment horizontal="center" vertical="top"/>
    </xf>
    <xf numFmtId="2" fontId="1" fillId="4" borderId="15" xfId="0" applyNumberFormat="1" applyFont="1" applyFill="1" applyBorder="1" applyAlignment="1">
      <alignment horizontal="center" vertical="top" shrinkToFit="1"/>
    </xf>
    <xf numFmtId="0" fontId="1" fillId="3" borderId="15" xfId="0" applyFont="1" applyFill="1" applyBorder="1" applyAlignment="1">
      <alignment horizontal="center" vertical="top"/>
    </xf>
    <xf numFmtId="164" fontId="1" fillId="3" borderId="15" xfId="0" applyNumberFormat="1" applyFont="1" applyFill="1" applyBorder="1" applyAlignment="1">
      <alignment vertical="top" shrinkToFit="1"/>
    </xf>
    <xf numFmtId="0" fontId="1" fillId="3" borderId="22" xfId="0" applyFont="1" applyFill="1" applyBorder="1" applyAlignment="1">
      <alignment horizontal="center" vertical="top"/>
    </xf>
    <xf numFmtId="0" fontId="1" fillId="0" borderId="12" xfId="0" applyFont="1" applyBorder="1" applyAlignment="1">
      <alignment vertical="top"/>
    </xf>
    <xf numFmtId="164" fontId="1" fillId="0" borderId="33" xfId="0" applyNumberFormat="1" applyFont="1" applyBorder="1" applyAlignment="1">
      <alignment horizontal="center" vertical="top"/>
    </xf>
    <xf numFmtId="43" fontId="1" fillId="0" borderId="33" xfId="0" applyNumberFormat="1" applyFont="1" applyBorder="1" applyAlignment="1">
      <alignment horizontal="center" vertical="top"/>
    </xf>
    <xf numFmtId="164" fontId="1" fillId="0" borderId="34" xfId="0" applyNumberFormat="1" applyFont="1" applyBorder="1" applyAlignment="1">
      <alignment horizontal="center" vertical="top"/>
    </xf>
    <xf numFmtId="164" fontId="1" fillId="0" borderId="35" xfId="0" applyNumberFormat="1" applyFont="1" applyBorder="1" applyAlignment="1">
      <alignment horizontal="center" vertical="top"/>
    </xf>
    <xf numFmtId="164" fontId="1" fillId="0" borderId="32" xfId="0" applyNumberFormat="1" applyFont="1" applyBorder="1" applyAlignment="1">
      <alignment horizontal="center" vertical="top"/>
    </xf>
    <xf numFmtId="164" fontId="1" fillId="5" borderId="33" xfId="0" applyNumberFormat="1" applyFont="1" applyFill="1" applyBorder="1" applyAlignment="1">
      <alignment horizontal="center" vertical="top"/>
    </xf>
    <xf numFmtId="0" fontId="1" fillId="6" borderId="36" xfId="0" applyFont="1" applyFill="1" applyBorder="1" applyAlignment="1">
      <alignment horizontal="center" vertical="top"/>
    </xf>
    <xf numFmtId="0" fontId="1" fillId="6" borderId="37" xfId="0" applyFont="1" applyFill="1" applyBorder="1" applyAlignment="1">
      <alignment horizontal="center" vertical="top"/>
    </xf>
    <xf numFmtId="0" fontId="1" fillId="4" borderId="38" xfId="0" applyFont="1" applyFill="1" applyBorder="1" applyAlignment="1">
      <alignment horizontal="center" vertical="top"/>
    </xf>
    <xf numFmtId="0" fontId="1" fillId="4" borderId="39" xfId="0" applyFont="1" applyFill="1" applyBorder="1" applyAlignment="1">
      <alignment horizontal="center" vertical="top"/>
    </xf>
    <xf numFmtId="0" fontId="1" fillId="0" borderId="0" xfId="0" applyFont="1" applyAlignment="1">
      <alignment horizontal="center" vertical="top"/>
    </xf>
    <xf numFmtId="0" fontId="1" fillId="0" borderId="40" xfId="0" applyFont="1" applyBorder="1" applyAlignment="1">
      <alignment vertical="top"/>
    </xf>
    <xf numFmtId="0" fontId="1" fillId="4" borderId="41" xfId="0" applyFont="1" applyFill="1" applyBorder="1" applyAlignment="1">
      <alignment horizontal="center" vertical="top"/>
    </xf>
    <xf numFmtId="0" fontId="1" fillId="0" borderId="23" xfId="0" applyFont="1" applyBorder="1" applyAlignment="1">
      <alignment horizontal="center" vertical="top"/>
    </xf>
    <xf numFmtId="0" fontId="1" fillId="4" borderId="42" xfId="0" applyFont="1" applyFill="1" applyBorder="1" applyAlignment="1">
      <alignment horizontal="center" vertical="top"/>
    </xf>
    <xf numFmtId="0" fontId="1" fillId="6" borderId="43" xfId="0" applyFont="1" applyFill="1" applyBorder="1" applyAlignment="1">
      <alignment vertical="top"/>
    </xf>
    <xf numFmtId="0" fontId="1" fillId="3" borderId="43" xfId="0" applyFont="1" applyFill="1" applyBorder="1" applyAlignment="1">
      <alignment horizontal="right" vertical="top" wrapText="1"/>
    </xf>
    <xf numFmtId="0" fontId="1" fillId="6" borderId="43" xfId="0" applyFont="1" applyFill="1" applyBorder="1" applyAlignment="1">
      <alignment horizontal="center" vertical="top"/>
    </xf>
    <xf numFmtId="0" fontId="1" fillId="6" borderId="44" xfId="0" applyFont="1" applyFill="1" applyBorder="1" applyAlignment="1">
      <alignment horizontal="center" vertical="top"/>
    </xf>
    <xf numFmtId="164" fontId="1" fillId="3" borderId="22" xfId="0" applyNumberFormat="1" applyFont="1" applyFill="1" applyBorder="1" applyAlignment="1">
      <alignment horizontal="center" vertical="top"/>
    </xf>
    <xf numFmtId="0" fontId="9" fillId="0" borderId="0" xfId="0" applyFont="1" applyAlignment="1">
      <alignment horizontal="center" vertical="top"/>
    </xf>
    <xf numFmtId="0" fontId="9" fillId="0" borderId="0" xfId="0" applyFont="1" applyAlignment="1">
      <alignment horizontal="left" vertical="top"/>
    </xf>
    <xf numFmtId="0" fontId="9" fillId="0" borderId="45" xfId="0" applyFont="1" applyBorder="1" applyAlignment="1">
      <alignment horizontal="left" vertical="top"/>
    </xf>
    <xf numFmtId="0" fontId="1" fillId="0" borderId="0" xfId="0" applyFont="1" applyAlignment="1">
      <alignment horizontal="left" vertical="top"/>
    </xf>
    <xf numFmtId="0" fontId="1" fillId="0" borderId="45" xfId="0" applyFont="1" applyBorder="1" applyAlignment="1">
      <alignment horizontal="left" vertical="top"/>
    </xf>
    <xf numFmtId="0" fontId="1" fillId="6" borderId="17" xfId="0" applyFont="1" applyFill="1" applyBorder="1" applyAlignment="1">
      <alignment vertical="top"/>
    </xf>
    <xf numFmtId="0" fontId="1" fillId="3" borderId="17" xfId="0" applyFont="1" applyFill="1" applyBorder="1" applyAlignment="1">
      <alignment horizontal="right" vertical="top" wrapText="1"/>
    </xf>
    <xf numFmtId="0" fontId="1" fillId="6" borderId="17" xfId="0" applyFont="1" applyFill="1" applyBorder="1" applyAlignment="1">
      <alignment horizontal="center" vertical="top"/>
    </xf>
    <xf numFmtId="0" fontId="1" fillId="6" borderId="46" xfId="0" applyFont="1" applyFill="1" applyBorder="1" applyAlignment="1">
      <alignment horizontal="center" vertical="top"/>
    </xf>
    <xf numFmtId="164" fontId="1" fillId="3" borderId="47" xfId="0" applyNumberFormat="1" applyFont="1" applyFill="1" applyBorder="1" applyAlignment="1">
      <alignment horizontal="center" vertical="top"/>
    </xf>
    <xf numFmtId="164" fontId="1" fillId="3" borderId="48" xfId="0" applyNumberFormat="1" applyFont="1" applyFill="1" applyBorder="1" applyAlignment="1">
      <alignment horizontal="center" vertical="top"/>
    </xf>
    <xf numFmtId="164" fontId="1" fillId="3" borderId="49" xfId="0" applyNumberFormat="1" applyFont="1" applyFill="1" applyBorder="1" applyAlignment="1">
      <alignment horizontal="center" vertical="top"/>
    </xf>
    <xf numFmtId="0" fontId="1" fillId="6" borderId="51" xfId="0" applyFont="1" applyFill="1" applyBorder="1" applyAlignment="1">
      <alignment horizontal="center" vertical="top"/>
    </xf>
    <xf numFmtId="0" fontId="1" fillId="6" borderId="52" xfId="0" applyFont="1" applyFill="1" applyBorder="1" applyAlignment="1">
      <alignment horizontal="center" vertical="top"/>
    </xf>
    <xf numFmtId="0" fontId="1" fillId="0" borderId="45" xfId="0" applyFont="1" applyBorder="1" applyAlignment="1">
      <alignment horizontal="center" vertical="top"/>
    </xf>
    <xf numFmtId="0" fontId="1" fillId="6" borderId="8" xfId="0" applyFont="1" applyFill="1" applyBorder="1" applyAlignment="1">
      <alignment horizontal="center" vertical="top"/>
    </xf>
    <xf numFmtId="164" fontId="1" fillId="4" borderId="38" xfId="0" applyNumberFormat="1" applyFont="1" applyFill="1" applyBorder="1" applyAlignment="1">
      <alignment horizontal="center" vertical="top"/>
    </xf>
    <xf numFmtId="164" fontId="1" fillId="4" borderId="39" xfId="0" applyNumberFormat="1" applyFont="1" applyFill="1" applyBorder="1" applyAlignment="1">
      <alignment horizontal="center" vertical="top"/>
    </xf>
    <xf numFmtId="164" fontId="1" fillId="4" borderId="53" xfId="0" applyNumberFormat="1" applyFont="1" applyFill="1" applyBorder="1" applyAlignment="1">
      <alignment horizontal="center" vertical="top"/>
    </xf>
    <xf numFmtId="164" fontId="1" fillId="4" borderId="44" xfId="0" applyNumberFormat="1" applyFont="1" applyFill="1" applyBorder="1" applyAlignment="1">
      <alignment horizontal="center" vertical="top"/>
    </xf>
    <xf numFmtId="164" fontId="1" fillId="4" borderId="41" xfId="0" applyNumberFormat="1" applyFont="1" applyFill="1" applyBorder="1" applyAlignment="1">
      <alignment horizontal="center" vertical="top"/>
    </xf>
    <xf numFmtId="164" fontId="1" fillId="4" borderId="42" xfId="0" applyNumberFormat="1" applyFont="1" applyFill="1" applyBorder="1" applyAlignment="1">
      <alignment horizontal="center" vertical="top"/>
    </xf>
    <xf numFmtId="164" fontId="1" fillId="3" borderId="38" xfId="0" applyNumberFormat="1" applyFont="1" applyFill="1" applyBorder="1" applyAlignment="1">
      <alignment horizontal="center" vertical="top"/>
    </xf>
    <xf numFmtId="0" fontId="1" fillId="6" borderId="59" xfId="0" applyFont="1" applyFill="1" applyBorder="1" applyAlignment="1">
      <alignment horizontal="center" vertical="top"/>
    </xf>
    <xf numFmtId="0" fontId="1" fillId="0" borderId="60" xfId="0" applyFont="1" applyBorder="1" applyAlignment="1">
      <alignment horizontal="center" vertical="top"/>
    </xf>
    <xf numFmtId="0" fontId="1" fillId="0" borderId="61" xfId="0" applyFont="1" applyBorder="1" applyAlignment="1">
      <alignment vertical="top"/>
    </xf>
    <xf numFmtId="0" fontId="1" fillId="6" borderId="62" xfId="0" applyFont="1" applyFill="1" applyBorder="1" applyAlignment="1">
      <alignment horizontal="center" vertical="top"/>
    </xf>
    <xf numFmtId="0" fontId="1" fillId="6" borderId="63" xfId="0" applyFont="1" applyFill="1" applyBorder="1" applyAlignment="1">
      <alignment horizontal="center" vertical="top"/>
    </xf>
    <xf numFmtId="164" fontId="1" fillId="0" borderId="10" xfId="0" applyNumberFormat="1" applyFont="1" applyBorder="1" applyAlignment="1">
      <alignment horizontal="center" vertical="top"/>
    </xf>
    <xf numFmtId="164" fontId="1" fillId="0" borderId="19" xfId="0" applyNumberFormat="1" applyFont="1" applyBorder="1" applyAlignment="1">
      <alignment horizontal="center" vertical="top"/>
    </xf>
    <xf numFmtId="164" fontId="1" fillId="7" borderId="22" xfId="0" applyNumberFormat="1" applyFont="1" applyFill="1" applyBorder="1" applyAlignment="1">
      <alignment horizontal="center" vertical="top"/>
    </xf>
    <xf numFmtId="164" fontId="1" fillId="7" borderId="19" xfId="0" applyNumberFormat="1" applyFont="1" applyFill="1" applyBorder="1" applyAlignment="1">
      <alignment horizontal="center" vertical="top"/>
    </xf>
    <xf numFmtId="0" fontId="1" fillId="0" borderId="64" xfId="0" applyFont="1" applyBorder="1" applyAlignment="1">
      <alignment horizontal="center" vertical="top"/>
    </xf>
    <xf numFmtId="164" fontId="1" fillId="7" borderId="16" xfId="0" applyNumberFormat="1" applyFont="1" applyFill="1" applyBorder="1" applyAlignment="1">
      <alignment horizontal="center" vertical="top"/>
    </xf>
    <xf numFmtId="164" fontId="1" fillId="7" borderId="15" xfId="0" applyNumberFormat="1" applyFont="1" applyFill="1" applyBorder="1" applyAlignment="1">
      <alignment horizontal="center" vertical="top"/>
    </xf>
    <xf numFmtId="0" fontId="1" fillId="6" borderId="43" xfId="0" applyFont="1" applyFill="1" applyBorder="1" applyAlignment="1">
      <alignment horizontal="right" vertical="top"/>
    </xf>
    <xf numFmtId="164" fontId="1" fillId="3" borderId="62" xfId="0" applyNumberFormat="1" applyFont="1" applyFill="1" applyBorder="1" applyAlignment="1">
      <alignment horizontal="center" vertical="top"/>
    </xf>
    <xf numFmtId="164" fontId="1" fillId="3" borderId="65" xfId="0" applyNumberFormat="1" applyFont="1" applyFill="1" applyBorder="1" applyAlignment="1">
      <alignment horizontal="center" vertical="top"/>
    </xf>
    <xf numFmtId="164" fontId="1" fillId="0" borderId="64" xfId="0" applyNumberFormat="1" applyFont="1" applyBorder="1" applyAlignment="1">
      <alignment horizontal="center" vertical="top"/>
    </xf>
    <xf numFmtId="0" fontId="1" fillId="3" borderId="38" xfId="0" applyFont="1" applyFill="1" applyBorder="1" applyAlignment="1">
      <alignment horizontal="right" vertical="top"/>
    </xf>
    <xf numFmtId="164" fontId="1" fillId="3" borderId="66" xfId="0" applyNumberFormat="1" applyFont="1" applyFill="1" applyBorder="1" applyAlignment="1">
      <alignment horizontal="center" vertical="top"/>
    </xf>
    <xf numFmtId="164" fontId="1" fillId="3" borderId="67" xfId="0" applyNumberFormat="1" applyFont="1" applyFill="1" applyBorder="1" applyAlignment="1">
      <alignment horizontal="center" vertical="top"/>
    </xf>
    <xf numFmtId="164" fontId="1" fillId="3" borderId="68" xfId="0" applyNumberFormat="1" applyFont="1" applyFill="1" applyBorder="1" applyAlignment="1">
      <alignment horizontal="center" vertical="top"/>
    </xf>
    <xf numFmtId="164" fontId="1" fillId="0" borderId="69" xfId="0" applyNumberFormat="1" applyFont="1" applyBorder="1" applyAlignment="1">
      <alignment horizontal="center" vertical="top"/>
    </xf>
    <xf numFmtId="164" fontId="1" fillId="0" borderId="29" xfId="0" applyNumberFormat="1" applyFont="1" applyBorder="1" applyAlignment="1">
      <alignment horizontal="center" vertical="top"/>
    </xf>
    <xf numFmtId="164" fontId="1" fillId="3" borderId="70" xfId="0" applyNumberFormat="1" applyFont="1" applyFill="1" applyBorder="1" applyAlignment="1">
      <alignment horizontal="center" vertical="top"/>
    </xf>
    <xf numFmtId="164" fontId="1" fillId="3" borderId="8" xfId="0" applyNumberFormat="1" applyFont="1" applyFill="1" applyBorder="1" applyAlignment="1">
      <alignment horizontal="center" vertical="top"/>
    </xf>
    <xf numFmtId="164" fontId="1" fillId="3" borderId="71" xfId="0" applyNumberFormat="1" applyFont="1" applyFill="1" applyBorder="1" applyAlignment="1">
      <alignment horizontal="center" vertical="top"/>
    </xf>
    <xf numFmtId="164" fontId="1" fillId="0" borderId="45" xfId="0" applyNumberFormat="1" applyFont="1" applyBorder="1" applyAlignment="1">
      <alignment horizontal="center" vertical="top"/>
    </xf>
    <xf numFmtId="164" fontId="1" fillId="0" borderId="72" xfId="0" applyNumberFormat="1" applyFont="1" applyBorder="1" applyAlignment="1">
      <alignment horizontal="center" vertical="top"/>
    </xf>
    <xf numFmtId="164" fontId="1" fillId="0" borderId="73" xfId="0" applyNumberFormat="1" applyFont="1" applyBorder="1" applyAlignment="1">
      <alignment horizontal="center" vertical="top"/>
    </xf>
    <xf numFmtId="0" fontId="1" fillId="0" borderId="74" xfId="0" applyFont="1" applyBorder="1" applyAlignment="1">
      <alignment horizontal="center" vertical="top"/>
    </xf>
    <xf numFmtId="0" fontId="8" fillId="0" borderId="12" xfId="0" applyFont="1" applyBorder="1" applyAlignment="1">
      <alignment vertical="top" wrapText="1"/>
    </xf>
    <xf numFmtId="0" fontId="8" fillId="3" borderId="17" xfId="0" applyFont="1" applyFill="1" applyBorder="1" applyAlignment="1">
      <alignment horizontal="right" vertical="top" wrapText="1"/>
    </xf>
    <xf numFmtId="164" fontId="1" fillId="0" borderId="75" xfId="0" applyNumberFormat="1" applyFont="1" applyBorder="1" applyAlignment="1">
      <alignment horizontal="center" vertical="top"/>
    </xf>
    <xf numFmtId="164" fontId="1" fillId="0" borderId="76" xfId="0" applyNumberFormat="1" applyFont="1" applyBorder="1" applyAlignment="1">
      <alignment horizontal="center" vertical="top"/>
    </xf>
    <xf numFmtId="164" fontId="1" fillId="5" borderId="65" xfId="0" applyNumberFormat="1" applyFont="1" applyFill="1" applyBorder="1" applyAlignment="1">
      <alignment horizontal="center" vertical="top"/>
    </xf>
    <xf numFmtId="0" fontId="1" fillId="6" borderId="79" xfId="0" applyFont="1" applyFill="1" applyBorder="1" applyAlignment="1">
      <alignment horizontal="center" vertical="top"/>
    </xf>
    <xf numFmtId="0" fontId="1" fillId="6" borderId="80" xfId="0" applyFont="1" applyFill="1" applyBorder="1" applyAlignment="1">
      <alignment horizontal="center" vertical="top"/>
    </xf>
    <xf numFmtId="164" fontId="1" fillId="0" borderId="81" xfId="0" applyNumberFormat="1" applyFont="1" applyBorder="1" applyAlignment="1">
      <alignment horizontal="center" vertical="top"/>
    </xf>
    <xf numFmtId="164" fontId="1" fillId="0" borderId="82" xfId="0" applyNumberFormat="1" applyFont="1" applyBorder="1" applyAlignment="1">
      <alignment horizontal="center" vertical="top"/>
    </xf>
    <xf numFmtId="0" fontId="1" fillId="6" borderId="85" xfId="0" applyFont="1" applyFill="1" applyBorder="1" applyAlignment="1">
      <alignment horizontal="center" vertical="top"/>
    </xf>
    <xf numFmtId="164" fontId="1" fillId="0" borderId="61" xfId="0" applyNumberFormat="1" applyFont="1" applyBorder="1" applyAlignment="1">
      <alignment horizontal="center" vertical="top"/>
    </xf>
    <xf numFmtId="164" fontId="1" fillId="0" borderId="86" xfId="0" applyNumberFormat="1" applyFont="1" applyBorder="1" applyAlignment="1">
      <alignment horizontal="center" vertical="top"/>
    </xf>
    <xf numFmtId="164" fontId="1" fillId="5" borderId="42" xfId="0" applyNumberFormat="1" applyFont="1" applyFill="1" applyBorder="1" applyAlignment="1">
      <alignment horizontal="center" vertical="top"/>
    </xf>
    <xf numFmtId="0" fontId="7" fillId="6" borderId="8" xfId="0" applyFont="1" applyFill="1" applyBorder="1" applyAlignment="1">
      <alignment vertical="top"/>
    </xf>
    <xf numFmtId="0" fontId="6" fillId="0" borderId="0" xfId="0" applyFont="1" applyAlignment="1">
      <alignment horizontal="center" vertical="top"/>
    </xf>
    <xf numFmtId="0" fontId="6" fillId="0" borderId="12" xfId="0" applyFont="1" applyBorder="1" applyAlignment="1">
      <alignment horizontal="center" vertical="top"/>
    </xf>
    <xf numFmtId="0" fontId="6" fillId="0" borderId="45" xfId="0" applyFont="1" applyBorder="1" applyAlignment="1">
      <alignment vertical="top"/>
    </xf>
    <xf numFmtId="0" fontId="6" fillId="0" borderId="10" xfId="0" applyFont="1" applyBorder="1" applyAlignment="1">
      <alignment horizontal="center" vertical="top"/>
    </xf>
    <xf numFmtId="0" fontId="1" fillId="3" borderId="17" xfId="0" applyFont="1" applyFill="1" applyBorder="1" applyAlignment="1">
      <alignment horizontal="right" vertical="top"/>
    </xf>
    <xf numFmtId="0" fontId="1" fillId="0" borderId="9" xfId="0" applyFont="1" applyBorder="1" applyAlignment="1">
      <alignment horizontal="center" vertical="top"/>
    </xf>
    <xf numFmtId="164" fontId="1" fillId="0" borderId="26" xfId="0" applyNumberFormat="1" applyFont="1" applyBorder="1" applyAlignment="1">
      <alignment horizontal="right" vertical="top"/>
    </xf>
    <xf numFmtId="0" fontId="1" fillId="6" borderId="44" xfId="0" applyFont="1" applyFill="1" applyBorder="1" applyAlignment="1">
      <alignment horizontal="left" vertical="top"/>
    </xf>
    <xf numFmtId="164" fontId="1" fillId="0" borderId="15" xfId="0" applyNumberFormat="1" applyFont="1" applyBorder="1" applyAlignment="1">
      <alignment horizontal="right" vertical="top"/>
    </xf>
    <xf numFmtId="0" fontId="9" fillId="0" borderId="45" xfId="0" applyFont="1" applyBorder="1" applyAlignment="1">
      <alignment horizontal="center" vertical="top"/>
    </xf>
    <xf numFmtId="0" fontId="1" fillId="3" borderId="43" xfId="0" applyFont="1" applyFill="1" applyBorder="1" applyAlignment="1">
      <alignment horizontal="right" vertical="top"/>
    </xf>
    <xf numFmtId="0" fontId="1" fillId="0" borderId="86" xfId="0" applyFont="1" applyBorder="1" applyAlignment="1">
      <alignment horizontal="center" vertical="top"/>
    </xf>
    <xf numFmtId="0" fontId="1" fillId="0" borderId="26" xfId="0" applyFont="1" applyBorder="1" applyAlignment="1">
      <alignment horizontal="center" vertical="top"/>
    </xf>
    <xf numFmtId="164" fontId="1" fillId="0" borderId="9" xfId="0" applyNumberFormat="1" applyFont="1" applyBorder="1" applyAlignment="1">
      <alignment horizontal="center" vertical="top"/>
    </xf>
    <xf numFmtId="0" fontId="1" fillId="6" borderId="62" xfId="0" applyFont="1" applyFill="1" applyBorder="1" applyAlignment="1">
      <alignment vertical="top"/>
    </xf>
    <xf numFmtId="0" fontId="1" fillId="3" borderId="62" xfId="0" applyFont="1" applyFill="1" applyBorder="1" applyAlignment="1">
      <alignment horizontal="right" vertical="top"/>
    </xf>
    <xf numFmtId="0" fontId="1" fillId="0" borderId="87" xfId="0" applyFont="1" applyBorder="1" applyAlignment="1">
      <alignment horizontal="center" vertical="top"/>
    </xf>
    <xf numFmtId="0" fontId="1" fillId="0" borderId="88" xfId="0" applyFont="1" applyBorder="1" applyAlignment="1">
      <alignment horizontal="center" vertical="top"/>
    </xf>
    <xf numFmtId="164" fontId="1" fillId="0" borderId="89" xfId="0" applyNumberFormat="1" applyFont="1" applyBorder="1" applyAlignment="1">
      <alignment horizontal="right" vertical="top"/>
    </xf>
    <xf numFmtId="0" fontId="1" fillId="6" borderId="63" xfId="0" applyFont="1" applyFill="1" applyBorder="1" applyAlignment="1">
      <alignment horizontal="left" vertical="top"/>
    </xf>
    <xf numFmtId="164" fontId="1" fillId="0" borderId="90" xfId="0" applyNumberFormat="1" applyFont="1" applyBorder="1" applyAlignment="1">
      <alignment horizontal="center" vertical="top"/>
    </xf>
    <xf numFmtId="164" fontId="1" fillId="0" borderId="87" xfId="0" applyNumberFormat="1" applyFont="1" applyBorder="1" applyAlignment="1">
      <alignment horizontal="center" vertical="top"/>
    </xf>
    <xf numFmtId="0" fontId="1" fillId="0" borderId="92" xfId="0" applyFont="1" applyBorder="1" applyAlignment="1">
      <alignment horizontal="center" vertical="top"/>
    </xf>
    <xf numFmtId="0" fontId="1" fillId="6" borderId="82" xfId="0" applyFont="1" applyFill="1" applyBorder="1" applyAlignment="1">
      <alignment horizontal="center" vertical="top"/>
    </xf>
    <xf numFmtId="164" fontId="1" fillId="0" borderId="93" xfId="0" applyNumberFormat="1" applyFont="1" applyBorder="1" applyAlignment="1">
      <alignment horizontal="center" vertical="top"/>
    </xf>
    <xf numFmtId="164" fontId="1" fillId="0" borderId="92" xfId="0" applyNumberFormat="1" applyFont="1" applyBorder="1" applyAlignment="1">
      <alignment horizontal="center" vertical="top"/>
    </xf>
    <xf numFmtId="164" fontId="1" fillId="0" borderId="94" xfId="0" applyNumberFormat="1" applyFont="1" applyBorder="1" applyAlignment="1">
      <alignment horizontal="center" vertical="top"/>
    </xf>
    <xf numFmtId="0" fontId="1" fillId="0" borderId="95" xfId="0" applyFont="1" applyBorder="1" applyAlignment="1">
      <alignment vertical="top"/>
    </xf>
    <xf numFmtId="164" fontId="1" fillId="3" borderId="96" xfId="0" applyNumberFormat="1" applyFont="1" applyFill="1" applyBorder="1" applyAlignment="1">
      <alignment vertical="top"/>
    </xf>
    <xf numFmtId="164" fontId="1" fillId="3" borderId="80" xfId="0" applyNumberFormat="1" applyFont="1" applyFill="1" applyBorder="1" applyAlignment="1">
      <alignment vertical="top"/>
    </xf>
    <xf numFmtId="164" fontId="1" fillId="3" borderId="35" xfId="0" applyNumberFormat="1" applyFont="1" applyFill="1" applyBorder="1" applyAlignment="1">
      <alignment horizontal="center" vertical="top"/>
    </xf>
    <xf numFmtId="164" fontId="1" fillId="3" borderId="34" xfId="0" applyNumberFormat="1" applyFont="1" applyFill="1" applyBorder="1" applyAlignment="1">
      <alignment horizontal="center" vertical="top"/>
    </xf>
    <xf numFmtId="164" fontId="1" fillId="3" borderId="93" xfId="0" applyNumberFormat="1" applyFont="1" applyFill="1" applyBorder="1" applyAlignment="1">
      <alignment horizontal="center" vertical="top"/>
    </xf>
    <xf numFmtId="164" fontId="1" fillId="3" borderId="82" xfId="0" applyNumberFormat="1" applyFont="1" applyFill="1" applyBorder="1" applyAlignment="1">
      <alignment horizontal="center" vertical="top"/>
    </xf>
    <xf numFmtId="0" fontId="10" fillId="0" borderId="0" xfId="0" applyFont="1" applyAlignment="1">
      <alignment vertical="center" wrapText="1"/>
    </xf>
    <xf numFmtId="0" fontId="11" fillId="8" borderId="8" xfId="0" applyFont="1" applyFill="1" applyBorder="1" applyAlignment="1">
      <alignment horizontal="center" vertical="center" wrapText="1"/>
    </xf>
    <xf numFmtId="0" fontId="12" fillId="0" borderId="0" xfId="0" applyFont="1" applyAlignment="1">
      <alignment horizontal="center" vertical="center" wrapText="1"/>
    </xf>
    <xf numFmtId="0" fontId="13" fillId="0" borderId="0" xfId="0" applyFont="1" applyAlignment="1">
      <alignment vertical="center" wrapText="1"/>
    </xf>
    <xf numFmtId="0" fontId="14" fillId="8" borderId="8" xfId="0" applyFont="1" applyFill="1" applyBorder="1" applyAlignment="1">
      <alignment vertical="center" wrapText="1"/>
    </xf>
    <xf numFmtId="0" fontId="14" fillId="8" borderId="8" xfId="0" applyFont="1" applyFill="1" applyBorder="1" applyAlignment="1">
      <alignment wrapText="1"/>
    </xf>
    <xf numFmtId="0" fontId="6" fillId="0" borderId="0" xfId="0" applyFont="1" applyAlignment="1">
      <alignment vertical="center"/>
    </xf>
    <xf numFmtId="0" fontId="10" fillId="0" borderId="0" xfId="0" applyFont="1" applyAlignment="1">
      <alignment horizontal="left" vertical="center" wrapText="1"/>
    </xf>
    <xf numFmtId="0" fontId="10" fillId="8" borderId="8" xfId="0" applyFont="1" applyFill="1" applyBorder="1" applyAlignment="1">
      <alignment vertical="center" wrapText="1"/>
    </xf>
    <xf numFmtId="0" fontId="15" fillId="0" borderId="0" xfId="0" applyFont="1"/>
    <xf numFmtId="0" fontId="6" fillId="0" borderId="61" xfId="0" applyFont="1" applyBorder="1"/>
    <xf numFmtId="0" fontId="6" fillId="0" borderId="0" xfId="0"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6" fillId="0" borderId="0" xfId="0" applyFont="1" applyAlignment="1">
      <alignment horizontal="left" wrapText="1"/>
    </xf>
    <xf numFmtId="0" fontId="16" fillId="0" borderId="0" xfId="0" applyFont="1" applyAlignment="1">
      <alignment vertical="top"/>
    </xf>
    <xf numFmtId="0" fontId="17" fillId="0" borderId="0" xfId="0" applyFont="1"/>
    <xf numFmtId="0" fontId="18" fillId="0" borderId="0" xfId="0" applyFont="1" applyAlignment="1">
      <alignment vertical="top"/>
    </xf>
    <xf numFmtId="0" fontId="7" fillId="2" borderId="9" xfId="0" applyFont="1" applyFill="1" applyBorder="1" applyAlignment="1">
      <alignment horizontal="center" vertical="top"/>
    </xf>
    <xf numFmtId="0" fontId="2" fillId="0" borderId="12" xfId="0" applyFont="1" applyBorder="1"/>
    <xf numFmtId="0" fontId="2" fillId="0" borderId="13" xfId="0" applyFont="1" applyBorder="1"/>
    <xf numFmtId="0" fontId="7" fillId="0" borderId="9" xfId="0" applyFont="1" applyBorder="1" applyAlignment="1">
      <alignment horizontal="center" vertical="top"/>
    </xf>
    <xf numFmtId="0" fontId="1" fillId="2" borderId="9" xfId="0" applyFont="1" applyFill="1" applyBorder="1" applyAlignment="1">
      <alignment horizontal="center" vertical="top"/>
    </xf>
    <xf numFmtId="0" fontId="2" fillId="0" borderId="10" xfId="0" applyFont="1" applyBorder="1"/>
    <xf numFmtId="0" fontId="2" fillId="0" borderId="21" xfId="0" applyFont="1" applyBorder="1"/>
    <xf numFmtId="0" fontId="1" fillId="2" borderId="1" xfId="0" applyFont="1" applyFill="1" applyBorder="1" applyAlignment="1">
      <alignment vertical="top"/>
    </xf>
    <xf numFmtId="0" fontId="2" fillId="0" borderId="2" xfId="0" applyFont="1" applyBorder="1"/>
    <xf numFmtId="0" fontId="1" fillId="2" borderId="6" xfId="0" applyFont="1" applyFill="1" applyBorder="1" applyAlignment="1">
      <alignment vertical="top"/>
    </xf>
    <xf numFmtId="0" fontId="2" fillId="0" borderId="7" xfId="0" applyFont="1" applyBorder="1"/>
    <xf numFmtId="0" fontId="1" fillId="3" borderId="9" xfId="0" applyFont="1" applyFill="1" applyBorder="1" applyAlignment="1">
      <alignment horizontal="center" vertical="center"/>
    </xf>
    <xf numFmtId="0" fontId="7" fillId="2" borderId="9" xfId="0" applyFont="1" applyFill="1" applyBorder="1" applyAlignment="1">
      <alignment horizontal="right" vertical="center"/>
    </xf>
    <xf numFmtId="0" fontId="1" fillId="3" borderId="9" xfId="0" applyFont="1" applyFill="1" applyBorder="1" applyAlignment="1">
      <alignment horizontal="center" vertical="top"/>
    </xf>
    <xf numFmtId="0" fontId="2" fillId="0" borderId="14" xfId="0" applyFont="1" applyBorder="1"/>
    <xf numFmtId="0" fontId="7" fillId="2" borderId="18" xfId="0" applyFont="1" applyFill="1" applyBorder="1" applyAlignment="1">
      <alignment horizontal="right" vertical="center"/>
    </xf>
    <xf numFmtId="0" fontId="7" fillId="2" borderId="6" xfId="0" applyFont="1" applyFill="1" applyBorder="1" applyAlignment="1">
      <alignment vertical="top"/>
    </xf>
    <xf numFmtId="0" fontId="2" fillId="0" borderId="11" xfId="0" applyFont="1" applyBorder="1"/>
    <xf numFmtId="0" fontId="1" fillId="0" borderId="0" xfId="0" applyFont="1" applyAlignment="1">
      <alignment vertical="top"/>
    </xf>
    <xf numFmtId="0" fontId="2" fillId="0" borderId="24" xfId="0" applyFont="1" applyBorder="1"/>
    <xf numFmtId="0" fontId="7" fillId="2" borderId="27" xfId="0" applyFont="1" applyFill="1" applyBorder="1" applyAlignment="1">
      <alignment vertical="top"/>
    </xf>
    <xf numFmtId="0" fontId="2" fillId="0" borderId="28" xfId="0" applyFont="1" applyBorder="1"/>
    <xf numFmtId="0" fontId="1" fillId="2" borderId="18" xfId="0" applyFont="1" applyFill="1" applyBorder="1" applyAlignment="1">
      <alignment vertical="top"/>
    </xf>
    <xf numFmtId="0" fontId="7" fillId="2" borderId="31" xfId="0" applyFont="1" applyFill="1" applyBorder="1" applyAlignment="1">
      <alignment vertical="top"/>
    </xf>
    <xf numFmtId="0" fontId="2" fillId="0" borderId="32" xfId="0" applyFont="1" applyBorder="1"/>
    <xf numFmtId="0" fontId="7" fillId="6" borderId="6" xfId="0" applyFont="1" applyFill="1" applyBorder="1" applyAlignment="1">
      <alignment horizontal="left" vertical="top"/>
    </xf>
    <xf numFmtId="0" fontId="1" fillId="6" borderId="31" xfId="0" applyFont="1" applyFill="1" applyBorder="1" applyAlignment="1">
      <alignment vertical="top"/>
    </xf>
    <xf numFmtId="0" fontId="2" fillId="0" borderId="50" xfId="0" applyFont="1" applyBorder="1"/>
    <xf numFmtId="0" fontId="7" fillId="6" borderId="6" xfId="0" applyFont="1" applyFill="1" applyBorder="1" applyAlignment="1">
      <alignment vertical="top"/>
    </xf>
    <xf numFmtId="0" fontId="1" fillId="6" borderId="27" xfId="0" applyFont="1" applyFill="1" applyBorder="1" applyAlignment="1">
      <alignment vertical="top"/>
    </xf>
    <xf numFmtId="0" fontId="2" fillId="0" borderId="54" xfId="0" applyFont="1" applyBorder="1"/>
    <xf numFmtId="0" fontId="1" fillId="6" borderId="18" xfId="0" applyFont="1" applyFill="1" applyBorder="1" applyAlignment="1">
      <alignment vertical="top"/>
    </xf>
    <xf numFmtId="0" fontId="1" fillId="6" borderId="55" xfId="0" applyFont="1" applyFill="1" applyBorder="1" applyAlignment="1">
      <alignment vertical="top"/>
    </xf>
    <xf numFmtId="0" fontId="2" fillId="0" borderId="56" xfId="0" applyFont="1" applyBorder="1"/>
    <xf numFmtId="0" fontId="7" fillId="6" borderId="57" xfId="0" applyFont="1" applyFill="1" applyBorder="1" applyAlignment="1">
      <alignment vertical="top"/>
    </xf>
    <xf numFmtId="0" fontId="2" fillId="0" borderId="58" xfId="0" applyFont="1" applyBorder="1"/>
    <xf numFmtId="0" fontId="7" fillId="6" borderId="77" xfId="0" applyFont="1" applyFill="1" applyBorder="1" applyAlignment="1">
      <alignment vertical="top"/>
    </xf>
    <xf numFmtId="0" fontId="2" fillId="0" borderId="78" xfId="0" applyFont="1" applyBorder="1"/>
    <xf numFmtId="0" fontId="7" fillId="6" borderId="83" xfId="0" applyFont="1" applyFill="1" applyBorder="1" applyAlignment="1">
      <alignment vertical="top"/>
    </xf>
    <xf numFmtId="0" fontId="2" fillId="0" borderId="84" xfId="0" applyFont="1" applyBorder="1"/>
    <xf numFmtId="0" fontId="7" fillId="6" borderId="81" xfId="0" applyFont="1" applyFill="1" applyBorder="1" applyAlignment="1">
      <alignment vertical="top"/>
    </xf>
    <xf numFmtId="0" fontId="2" fillId="0" borderId="91" xfId="0" applyFont="1" applyBorder="1"/>
    <xf numFmtId="0" fontId="26" fillId="3" borderId="22" xfId="0" applyFont="1" applyFill="1" applyBorder="1" applyAlignment="1">
      <alignment horizontal="right" vertical="top"/>
    </xf>
  </cellXfs>
  <cellStyles count="1">
    <cellStyle name="Normal" xfId="0" builtinId="0"/>
  </cellStyles>
  <dxfs count="1">
    <dxf>
      <fill>
        <patternFill patternType="solid">
          <fgColor rgb="FFF7CAAC"/>
          <bgColor rgb="FFF7CAA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customschemas.google.com/relationships/workbookmetadata" Target="metadata"/><Relationship Id="rId4" Type="http://schemas.openxmlformats.org/officeDocument/2006/relationships/worksheet" Target="worksheets/sheet4.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oneCellAnchor>
    <xdr:from>
      <xdr:col>0</xdr:col>
      <xdr:colOff>76200</xdr:colOff>
      <xdr:row>3</xdr:row>
      <xdr:rowOff>38100</xdr:rowOff>
    </xdr:from>
    <xdr:ext cx="266700" cy="238125"/>
    <xdr:sp macro="" textlink="">
      <xdr:nvSpPr>
        <xdr:cNvPr id="3" name="Shape 3">
          <a:extLst>
            <a:ext uri="{FF2B5EF4-FFF2-40B4-BE49-F238E27FC236}">
              <a16:creationId xmlns:a16="http://schemas.microsoft.com/office/drawing/2014/main" id="{00000000-0008-0000-0100-000003000000}"/>
            </a:ext>
          </a:extLst>
        </xdr:cNvPr>
        <xdr:cNvSpPr/>
      </xdr:nvSpPr>
      <xdr:spPr>
        <a:xfrm>
          <a:off x="5222175" y="3665700"/>
          <a:ext cx="247650" cy="228600"/>
        </a:xfrm>
        <a:prstGeom prst="rightArrow">
          <a:avLst>
            <a:gd name="adj1" fmla="val 50000"/>
            <a:gd name="adj2" fmla="val 50000"/>
          </a:avLst>
        </a:prstGeom>
        <a:solidFill>
          <a:srgbClr val="FF0000"/>
        </a:solidFill>
        <a:ln w="12700" cap="flat" cmpd="sng">
          <a:solidFill>
            <a:srgbClr val="1C3052"/>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76200</xdr:colOff>
      <xdr:row>4</xdr:row>
      <xdr:rowOff>38100</xdr:rowOff>
    </xdr:from>
    <xdr:ext cx="266700" cy="238125"/>
    <xdr:sp macro="" textlink="">
      <xdr:nvSpPr>
        <xdr:cNvPr id="2" name="Shape 3">
          <a:extLst>
            <a:ext uri="{FF2B5EF4-FFF2-40B4-BE49-F238E27FC236}">
              <a16:creationId xmlns:a16="http://schemas.microsoft.com/office/drawing/2014/main" id="{00000000-0008-0000-0100-000002000000}"/>
            </a:ext>
          </a:extLst>
        </xdr:cNvPr>
        <xdr:cNvSpPr/>
      </xdr:nvSpPr>
      <xdr:spPr>
        <a:xfrm>
          <a:off x="5222175" y="3665700"/>
          <a:ext cx="247650" cy="228600"/>
        </a:xfrm>
        <a:prstGeom prst="rightArrow">
          <a:avLst>
            <a:gd name="adj1" fmla="val 50000"/>
            <a:gd name="adj2" fmla="val 50000"/>
          </a:avLst>
        </a:prstGeom>
        <a:solidFill>
          <a:srgbClr val="FF0000"/>
        </a:solidFill>
        <a:ln w="12700" cap="flat" cmpd="sng">
          <a:solidFill>
            <a:srgbClr val="1C3052"/>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76200</xdr:colOff>
      <xdr:row>5</xdr:row>
      <xdr:rowOff>104775</xdr:rowOff>
    </xdr:from>
    <xdr:ext cx="266700" cy="238125"/>
    <xdr:sp macro="" textlink="">
      <xdr:nvSpPr>
        <xdr:cNvPr id="4" name="Shape 3">
          <a:extLst>
            <a:ext uri="{FF2B5EF4-FFF2-40B4-BE49-F238E27FC236}">
              <a16:creationId xmlns:a16="http://schemas.microsoft.com/office/drawing/2014/main" id="{00000000-0008-0000-0100-000004000000}"/>
            </a:ext>
          </a:extLst>
        </xdr:cNvPr>
        <xdr:cNvSpPr/>
      </xdr:nvSpPr>
      <xdr:spPr>
        <a:xfrm>
          <a:off x="5222175" y="3665700"/>
          <a:ext cx="247650" cy="228600"/>
        </a:xfrm>
        <a:prstGeom prst="rightArrow">
          <a:avLst>
            <a:gd name="adj1" fmla="val 50000"/>
            <a:gd name="adj2" fmla="val 50000"/>
          </a:avLst>
        </a:prstGeom>
        <a:solidFill>
          <a:srgbClr val="FF0000"/>
        </a:solidFill>
        <a:ln w="12700" cap="flat" cmpd="sng">
          <a:solidFill>
            <a:srgbClr val="1C3052"/>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D1000"/>
  <sheetViews>
    <sheetView tabSelected="1" topLeftCell="A35" workbookViewId="0">
      <selection activeCell="AF79" sqref="AF79"/>
    </sheetView>
  </sheetViews>
  <sheetFormatPr baseColWidth="10" defaultColWidth="14.5" defaultRowHeight="15" customHeight="1" x14ac:dyDescent="0.2"/>
  <cols>
    <col min="1" max="1" width="13.6640625" customWidth="1"/>
    <col min="2" max="2" width="37.5" customWidth="1"/>
    <col min="3" max="6" width="9.1640625" customWidth="1"/>
    <col min="7" max="8" width="12.1640625" customWidth="1"/>
    <col min="9" max="12" width="9" hidden="1" customWidth="1"/>
    <col min="13" max="14" width="12.1640625" hidden="1" customWidth="1"/>
    <col min="15" max="18" width="9.1640625" hidden="1" customWidth="1"/>
    <col min="19" max="20" width="12.1640625" hidden="1" customWidth="1"/>
    <col min="21" max="24" width="9.1640625" hidden="1" customWidth="1"/>
    <col min="25" max="26" width="12" hidden="1" customWidth="1"/>
    <col min="27" max="27" width="3.6640625" customWidth="1"/>
    <col min="28" max="28" width="6.83203125" customWidth="1"/>
    <col min="29" max="30" width="12" customWidth="1"/>
  </cols>
  <sheetData>
    <row r="1" spans="1:30" ht="90.75" hidden="1" customHeight="1" x14ac:dyDescent="0.2">
      <c r="A1" s="1"/>
      <c r="B1" s="1"/>
      <c r="C1" s="1"/>
      <c r="D1" s="1"/>
      <c r="E1" s="1"/>
      <c r="F1" s="1"/>
      <c r="G1" s="1"/>
      <c r="H1" s="1"/>
      <c r="I1" s="1"/>
      <c r="J1" s="1"/>
      <c r="K1" s="1"/>
      <c r="L1" s="1"/>
      <c r="M1" s="1"/>
      <c r="N1" s="1"/>
      <c r="O1" s="1"/>
      <c r="P1" s="1"/>
      <c r="Q1" s="1"/>
      <c r="R1" s="1"/>
      <c r="S1" s="1"/>
      <c r="T1" s="1"/>
      <c r="U1" s="1"/>
      <c r="V1" s="1"/>
      <c r="W1" s="1"/>
      <c r="X1" s="1"/>
      <c r="Y1" s="1"/>
      <c r="Z1" s="1"/>
      <c r="AA1" s="1"/>
      <c r="AB1" s="1"/>
      <c r="AC1" s="1"/>
      <c r="AD1" s="1"/>
    </row>
    <row r="2" spans="1:30" ht="12.75" customHeight="1" x14ac:dyDescent="0.2">
      <c r="A2" s="211" t="s">
        <v>0</v>
      </c>
      <c r="B2" s="212"/>
      <c r="C2" s="2"/>
      <c r="D2" s="2"/>
      <c r="E2" s="2"/>
      <c r="F2" s="2"/>
      <c r="G2" s="2"/>
      <c r="H2" s="3" t="s">
        <v>1</v>
      </c>
      <c r="I2" s="4"/>
      <c r="J2" s="5"/>
      <c r="K2" s="5"/>
      <c r="L2" s="5"/>
      <c r="M2" s="1"/>
      <c r="N2" s="5"/>
      <c r="O2" s="1"/>
      <c r="P2" s="1"/>
      <c r="Q2" s="1"/>
      <c r="R2" s="1"/>
      <c r="S2" s="1"/>
      <c r="T2" s="1"/>
      <c r="U2" s="1"/>
      <c r="V2" s="1"/>
      <c r="W2" s="1"/>
      <c r="X2" s="1"/>
      <c r="Y2" s="1"/>
      <c r="Z2" s="1"/>
      <c r="AA2" s="1"/>
      <c r="AB2" s="1"/>
      <c r="AC2" s="1"/>
      <c r="AD2" s="1"/>
    </row>
    <row r="3" spans="1:30" ht="21" customHeight="1" x14ac:dyDescent="0.2">
      <c r="A3" s="213" t="s">
        <v>2</v>
      </c>
      <c r="B3" s="214"/>
      <c r="C3" s="6" t="s">
        <v>3</v>
      </c>
      <c r="D3" s="215" t="s">
        <v>4</v>
      </c>
      <c r="E3" s="209"/>
      <c r="F3" s="7"/>
      <c r="G3" s="7"/>
      <c r="H3" s="8"/>
      <c r="I3" s="9"/>
      <c r="J3" s="9"/>
      <c r="K3" s="9"/>
      <c r="L3" s="9"/>
      <c r="M3" s="10"/>
      <c r="N3" s="10"/>
      <c r="O3" s="1"/>
      <c r="P3" s="1"/>
      <c r="Q3" s="1"/>
      <c r="R3" s="1"/>
      <c r="S3" s="1"/>
      <c r="T3" s="1"/>
      <c r="U3" s="1"/>
      <c r="V3" s="1"/>
      <c r="W3" s="1"/>
      <c r="X3" s="1"/>
      <c r="Y3" s="1"/>
      <c r="Z3" s="1"/>
      <c r="AA3" s="1"/>
      <c r="AB3" s="1"/>
      <c r="AC3" s="1"/>
      <c r="AD3" s="1"/>
    </row>
    <row r="4" spans="1:30" ht="13.5" customHeight="1" x14ac:dyDescent="0.2">
      <c r="A4" s="220" t="s">
        <v>5</v>
      </c>
      <c r="B4" s="221"/>
      <c r="C4" s="216" t="s">
        <v>6</v>
      </c>
      <c r="D4" s="205"/>
      <c r="E4" s="206"/>
      <c r="F4" s="217" t="s">
        <v>7</v>
      </c>
      <c r="G4" s="205"/>
      <c r="H4" s="218"/>
      <c r="I4" s="9"/>
      <c r="J4" s="9"/>
      <c r="K4" s="9"/>
      <c r="L4" s="9"/>
      <c r="M4" s="9"/>
      <c r="N4" s="10"/>
      <c r="O4" s="1"/>
      <c r="P4" s="1"/>
      <c r="Q4" s="1"/>
      <c r="R4" s="1"/>
      <c r="S4" s="1"/>
      <c r="T4" s="1"/>
      <c r="U4" s="1"/>
      <c r="V4" s="1"/>
      <c r="W4" s="1"/>
      <c r="X4" s="1"/>
      <c r="Y4" s="1"/>
      <c r="Z4" s="1"/>
      <c r="AA4" s="1"/>
      <c r="AB4" s="1"/>
      <c r="AC4" s="1"/>
      <c r="AD4" s="1"/>
    </row>
    <row r="5" spans="1:30" ht="13.5" customHeight="1" x14ac:dyDescent="0.2">
      <c r="A5" s="11" t="s">
        <v>8</v>
      </c>
      <c r="B5" s="12" t="s">
        <v>9</v>
      </c>
      <c r="C5" s="13"/>
      <c r="D5" s="7"/>
      <c r="E5" s="7"/>
      <c r="F5" s="7"/>
      <c r="G5" s="14" t="s">
        <v>10</v>
      </c>
      <c r="H5" s="14" t="s">
        <v>11</v>
      </c>
      <c r="I5" s="10"/>
      <c r="J5" s="10"/>
      <c r="K5" s="10"/>
      <c r="L5" s="15"/>
      <c r="M5" s="15"/>
      <c r="N5" s="15"/>
      <c r="O5" s="16"/>
      <c r="P5" s="16"/>
      <c r="Q5" s="1"/>
      <c r="R5" s="16"/>
      <c r="S5" s="16"/>
      <c r="T5" s="16"/>
      <c r="U5" s="16"/>
      <c r="V5" s="16"/>
      <c r="W5" s="16"/>
      <c r="X5" s="16"/>
      <c r="Y5" s="16"/>
      <c r="Z5" s="16"/>
      <c r="AA5" s="16"/>
      <c r="AB5" s="1"/>
      <c r="AC5" s="1"/>
      <c r="AD5" s="1"/>
    </row>
    <row r="6" spans="1:30" ht="13.5" customHeight="1" x14ac:dyDescent="0.2">
      <c r="A6" s="11" t="s">
        <v>12</v>
      </c>
      <c r="B6" s="17" t="s">
        <v>13</v>
      </c>
      <c r="C6" s="1"/>
      <c r="D6" s="18"/>
      <c r="E6" s="219" t="s">
        <v>14</v>
      </c>
      <c r="F6" s="209"/>
      <c r="G6" s="19">
        <v>45901</v>
      </c>
      <c r="H6" s="20">
        <v>46630</v>
      </c>
      <c r="I6" s="1"/>
      <c r="J6" s="1"/>
      <c r="K6" s="1"/>
      <c r="L6" s="1"/>
      <c r="M6" s="1"/>
      <c r="N6" s="1"/>
      <c r="O6" s="1"/>
      <c r="P6" s="1"/>
      <c r="Q6" s="1"/>
      <c r="R6" s="1"/>
      <c r="S6" s="1"/>
      <c r="T6" s="1"/>
      <c r="U6" s="1"/>
      <c r="V6" s="1"/>
      <c r="W6" s="1"/>
      <c r="X6" s="1"/>
      <c r="Y6" s="1"/>
      <c r="Z6" s="1"/>
      <c r="AA6" s="1"/>
      <c r="AB6" s="21"/>
      <c r="AC6" s="1"/>
      <c r="AD6" s="1"/>
    </row>
    <row r="7" spans="1:30" ht="13.5" customHeight="1" x14ac:dyDescent="0.2">
      <c r="A7" s="11" t="s">
        <v>15</v>
      </c>
      <c r="B7" s="17" t="s">
        <v>16</v>
      </c>
      <c r="C7" s="204" t="s">
        <v>17</v>
      </c>
      <c r="D7" s="205"/>
      <c r="E7" s="205"/>
      <c r="F7" s="205"/>
      <c r="G7" s="205"/>
      <c r="H7" s="206"/>
      <c r="I7" s="207" t="s">
        <v>18</v>
      </c>
      <c r="J7" s="205"/>
      <c r="K7" s="205"/>
      <c r="L7" s="205"/>
      <c r="M7" s="205"/>
      <c r="N7" s="205"/>
      <c r="O7" s="207" t="s">
        <v>19</v>
      </c>
      <c r="P7" s="205"/>
      <c r="Q7" s="205"/>
      <c r="R7" s="205"/>
      <c r="S7" s="205"/>
      <c r="T7" s="205"/>
      <c r="U7" s="207" t="s">
        <v>20</v>
      </c>
      <c r="V7" s="205"/>
      <c r="W7" s="205"/>
      <c r="X7" s="205"/>
      <c r="Y7" s="205"/>
      <c r="Z7" s="205"/>
      <c r="AA7" s="22"/>
      <c r="AB7" s="1"/>
      <c r="AC7" s="1"/>
      <c r="AD7" s="1"/>
    </row>
    <row r="8" spans="1:30" ht="13.5" customHeight="1" x14ac:dyDescent="0.2">
      <c r="A8" s="11" t="s">
        <v>21</v>
      </c>
      <c r="B8" s="17" t="s">
        <v>22</v>
      </c>
      <c r="C8" s="23" t="s">
        <v>23</v>
      </c>
      <c r="D8" s="24"/>
      <c r="E8" s="23" t="s">
        <v>24</v>
      </c>
      <c r="F8" s="24"/>
      <c r="G8" s="208"/>
      <c r="H8" s="210"/>
      <c r="I8" s="25" t="s">
        <v>23</v>
      </c>
      <c r="J8" s="24"/>
      <c r="K8" s="26" t="s">
        <v>24</v>
      </c>
      <c r="L8" s="24"/>
      <c r="M8" s="208"/>
      <c r="N8" s="209"/>
      <c r="O8" s="23" t="s">
        <v>23</v>
      </c>
      <c r="P8" s="24"/>
      <c r="Q8" s="23" t="s">
        <v>24</v>
      </c>
      <c r="R8" s="24"/>
      <c r="S8" s="208"/>
      <c r="T8" s="209"/>
      <c r="U8" s="23" t="s">
        <v>23</v>
      </c>
      <c r="V8" s="24"/>
      <c r="W8" s="23" t="s">
        <v>24</v>
      </c>
      <c r="X8" s="24"/>
      <c r="Y8" s="208"/>
      <c r="Z8" s="210"/>
      <c r="AA8" s="27"/>
      <c r="AB8" s="208" t="s">
        <v>25</v>
      </c>
      <c r="AC8" s="205"/>
      <c r="AD8" s="209"/>
    </row>
    <row r="9" spans="1:30" ht="12.75" customHeight="1" x14ac:dyDescent="0.2">
      <c r="A9" s="222"/>
      <c r="B9" s="223"/>
      <c r="C9" s="28" t="s">
        <v>26</v>
      </c>
      <c r="D9" s="28" t="s">
        <v>27</v>
      </c>
      <c r="E9" s="28" t="s">
        <v>28</v>
      </c>
      <c r="F9" s="28" t="s">
        <v>29</v>
      </c>
      <c r="G9" s="29" t="s">
        <v>30</v>
      </c>
      <c r="H9" s="30" t="s">
        <v>31</v>
      </c>
      <c r="I9" s="31" t="s">
        <v>26</v>
      </c>
      <c r="J9" s="28" t="s">
        <v>27</v>
      </c>
      <c r="K9" s="28" t="s">
        <v>28</v>
      </c>
      <c r="L9" s="28" t="s">
        <v>29</v>
      </c>
      <c r="M9" s="29" t="s">
        <v>32</v>
      </c>
      <c r="N9" s="30" t="s">
        <v>33</v>
      </c>
      <c r="O9" s="31" t="s">
        <v>26</v>
      </c>
      <c r="P9" s="28" t="s">
        <v>27</v>
      </c>
      <c r="Q9" s="28" t="s">
        <v>28</v>
      </c>
      <c r="R9" s="28" t="s">
        <v>29</v>
      </c>
      <c r="S9" s="29" t="s">
        <v>32</v>
      </c>
      <c r="T9" s="30" t="s">
        <v>33</v>
      </c>
      <c r="U9" s="31" t="s">
        <v>26</v>
      </c>
      <c r="V9" s="28" t="s">
        <v>27</v>
      </c>
      <c r="W9" s="28" t="s">
        <v>28</v>
      </c>
      <c r="X9" s="28" t="s">
        <v>29</v>
      </c>
      <c r="Y9" s="29" t="s">
        <v>32</v>
      </c>
      <c r="Z9" s="32" t="s">
        <v>33</v>
      </c>
      <c r="AA9" s="33"/>
      <c r="AB9" s="34" t="s">
        <v>27</v>
      </c>
      <c r="AC9" s="29" t="s">
        <v>32</v>
      </c>
      <c r="AD9" s="29" t="s">
        <v>34</v>
      </c>
    </row>
    <row r="10" spans="1:30" ht="12.75" customHeight="1" x14ac:dyDescent="0.2">
      <c r="A10" s="224" t="s">
        <v>35</v>
      </c>
      <c r="B10" s="225"/>
      <c r="C10" s="35"/>
      <c r="D10" s="36"/>
      <c r="E10" s="36"/>
      <c r="F10" s="36"/>
      <c r="G10" s="36"/>
      <c r="H10" s="37"/>
      <c r="I10" s="38"/>
      <c r="J10" s="36"/>
      <c r="K10" s="36"/>
      <c r="L10" s="36"/>
      <c r="M10" s="36"/>
      <c r="N10" s="37"/>
      <c r="O10" s="38"/>
      <c r="P10" s="36"/>
      <c r="Q10" s="36"/>
      <c r="R10" s="36"/>
      <c r="S10" s="36"/>
      <c r="T10" s="37"/>
      <c r="U10" s="38"/>
      <c r="V10" s="36"/>
      <c r="W10" s="36"/>
      <c r="X10" s="36"/>
      <c r="Y10" s="36"/>
      <c r="Z10" s="39"/>
      <c r="AA10" s="40"/>
      <c r="AB10" s="41"/>
      <c r="AC10" s="36"/>
      <c r="AD10" s="36"/>
    </row>
    <row r="11" spans="1:30" ht="13.5" customHeight="1" x14ac:dyDescent="0.2">
      <c r="A11" s="42" t="s">
        <v>36</v>
      </c>
      <c r="B11" s="43"/>
      <c r="C11" s="44">
        <f>COUNTIF(D12:D23, "&lt;&gt;")</f>
        <v>1</v>
      </c>
      <c r="D11" s="45">
        <f t="shared" ref="D11:H11" si="0">SUM(D12:D23)</f>
        <v>24</v>
      </c>
      <c r="E11" s="46">
        <f>SUM(E12:E23)</f>
        <v>40889</v>
      </c>
      <c r="F11" s="46">
        <f t="shared" si="0"/>
        <v>4332</v>
      </c>
      <c r="G11" s="46">
        <f t="shared" si="0"/>
        <v>45222</v>
      </c>
      <c r="H11" s="46">
        <f t="shared" si="0"/>
        <v>0</v>
      </c>
      <c r="I11" s="44">
        <f>COUNTIF(J12:J23, "&lt;&gt;")</f>
        <v>0</v>
      </c>
      <c r="J11" s="45">
        <f t="shared" ref="J11:N11" si="1">SUM(J12:J23)</f>
        <v>0</v>
      </c>
      <c r="K11" s="46">
        <f t="shared" si="1"/>
        <v>0</v>
      </c>
      <c r="L11" s="46">
        <f t="shared" si="1"/>
        <v>0</v>
      </c>
      <c r="M11" s="46">
        <f t="shared" si="1"/>
        <v>0</v>
      </c>
      <c r="N11" s="46">
        <f t="shared" si="1"/>
        <v>0</v>
      </c>
      <c r="O11" s="44">
        <f>COUNTIF(P12:P23, "&lt;&gt;")</f>
        <v>0</v>
      </c>
      <c r="P11" s="45">
        <f t="shared" ref="P11:T11" si="2">SUM(P12:P23)</f>
        <v>0</v>
      </c>
      <c r="Q11" s="46">
        <f t="shared" si="2"/>
        <v>0</v>
      </c>
      <c r="R11" s="46">
        <f t="shared" si="2"/>
        <v>0</v>
      </c>
      <c r="S11" s="46">
        <f t="shared" si="2"/>
        <v>0</v>
      </c>
      <c r="T11" s="46">
        <f t="shared" si="2"/>
        <v>0</v>
      </c>
      <c r="U11" s="44">
        <f>COUNTIF(V12:V23, "&lt;&gt;")</f>
        <v>0</v>
      </c>
      <c r="V11" s="45">
        <f t="shared" ref="V11:Z11" si="3">SUM(V12:V23)</f>
        <v>0</v>
      </c>
      <c r="W11" s="46">
        <f t="shared" si="3"/>
        <v>0</v>
      </c>
      <c r="X11" s="46">
        <f t="shared" si="3"/>
        <v>0</v>
      </c>
      <c r="Y11" s="46">
        <f t="shared" si="3"/>
        <v>0</v>
      </c>
      <c r="Z11" s="46">
        <f t="shared" si="3"/>
        <v>0</v>
      </c>
      <c r="AA11" s="47"/>
      <c r="AB11" s="48">
        <f t="shared" ref="AB11:AD11" si="4">SUM(AB12:AB23)</f>
        <v>24</v>
      </c>
      <c r="AC11" s="49">
        <f t="shared" si="4"/>
        <v>45222</v>
      </c>
      <c r="AD11" s="49">
        <f t="shared" si="4"/>
        <v>0</v>
      </c>
    </row>
    <row r="12" spans="1:30" ht="13.5" customHeight="1" x14ac:dyDescent="0.2">
      <c r="A12" s="50">
        <v>1</v>
      </c>
      <c r="B12" s="51" t="s">
        <v>16</v>
      </c>
      <c r="C12" s="52"/>
      <c r="D12" s="53">
        <v>24</v>
      </c>
      <c r="E12" s="54">
        <v>40889</v>
      </c>
      <c r="F12" s="54">
        <v>4332</v>
      </c>
      <c r="G12" s="55">
        <f>40890+F12</f>
        <v>45222</v>
      </c>
      <c r="H12" s="56"/>
      <c r="I12" s="57"/>
      <c r="J12" s="53"/>
      <c r="K12" s="54"/>
      <c r="L12" s="54"/>
      <c r="M12" s="55"/>
      <c r="N12" s="56"/>
      <c r="O12" s="57"/>
      <c r="P12" s="53"/>
      <c r="Q12" s="54"/>
      <c r="R12" s="54"/>
      <c r="S12" s="55"/>
      <c r="T12" s="56"/>
      <c r="U12" s="57"/>
      <c r="V12" s="53"/>
      <c r="W12" s="54"/>
      <c r="X12" s="54"/>
      <c r="Y12" s="55"/>
      <c r="Z12" s="58"/>
      <c r="AA12" s="47"/>
      <c r="AB12" s="48">
        <f t="shared" ref="AB12:AB23" si="5">D12+J12+P12+V12</f>
        <v>24</v>
      </c>
      <c r="AC12" s="49">
        <f t="shared" ref="AC12:AD12" si="6">G12+M12+S12+Y12</f>
        <v>45222</v>
      </c>
      <c r="AD12" s="49">
        <f t="shared" si="6"/>
        <v>0</v>
      </c>
    </row>
    <row r="13" spans="1:30" ht="13.5" hidden="1" customHeight="1" x14ac:dyDescent="0.2">
      <c r="A13" s="50">
        <v>2</v>
      </c>
      <c r="B13" s="51"/>
      <c r="C13" s="52"/>
      <c r="D13" s="53"/>
      <c r="E13" s="54"/>
      <c r="F13" s="54"/>
      <c r="G13" s="55"/>
      <c r="H13" s="56"/>
      <c r="I13" s="57"/>
      <c r="J13" s="53"/>
      <c r="K13" s="54"/>
      <c r="L13" s="54"/>
      <c r="M13" s="55"/>
      <c r="N13" s="56"/>
      <c r="O13" s="57"/>
      <c r="P13" s="53"/>
      <c r="Q13" s="54"/>
      <c r="R13" s="54"/>
      <c r="S13" s="55"/>
      <c r="T13" s="56"/>
      <c r="U13" s="57"/>
      <c r="V13" s="53"/>
      <c r="W13" s="54"/>
      <c r="X13" s="54"/>
      <c r="Y13" s="55"/>
      <c r="Z13" s="58"/>
      <c r="AA13" s="47"/>
      <c r="AB13" s="48">
        <f t="shared" si="5"/>
        <v>0</v>
      </c>
      <c r="AC13" s="49">
        <f t="shared" ref="AC13:AD13" si="7">G13+M13+S13+Y13</f>
        <v>0</v>
      </c>
      <c r="AD13" s="49">
        <f t="shared" si="7"/>
        <v>0</v>
      </c>
    </row>
    <row r="14" spans="1:30" ht="13.5" hidden="1" customHeight="1" x14ac:dyDescent="0.2">
      <c r="A14" s="50">
        <v>3</v>
      </c>
      <c r="B14" s="51"/>
      <c r="C14" s="52"/>
      <c r="D14" s="53"/>
      <c r="E14" s="54"/>
      <c r="F14" s="54"/>
      <c r="G14" s="55"/>
      <c r="H14" s="56"/>
      <c r="I14" s="57"/>
      <c r="J14" s="53"/>
      <c r="K14" s="54"/>
      <c r="L14" s="54"/>
      <c r="M14" s="55"/>
      <c r="N14" s="56"/>
      <c r="O14" s="57"/>
      <c r="P14" s="53"/>
      <c r="Q14" s="54"/>
      <c r="R14" s="54"/>
      <c r="S14" s="55"/>
      <c r="T14" s="56"/>
      <c r="U14" s="57"/>
      <c r="V14" s="53"/>
      <c r="W14" s="54"/>
      <c r="X14" s="54"/>
      <c r="Y14" s="55"/>
      <c r="Z14" s="58"/>
      <c r="AA14" s="47"/>
      <c r="AB14" s="48">
        <f t="shared" si="5"/>
        <v>0</v>
      </c>
      <c r="AC14" s="49">
        <f t="shared" ref="AC14:AD14" si="8">G14+M14+S14+Y14</f>
        <v>0</v>
      </c>
      <c r="AD14" s="49">
        <f t="shared" si="8"/>
        <v>0</v>
      </c>
    </row>
    <row r="15" spans="1:30" ht="13.5" hidden="1" customHeight="1" x14ac:dyDescent="0.2">
      <c r="A15" s="50">
        <v>4</v>
      </c>
      <c r="B15" s="51"/>
      <c r="C15" s="52"/>
      <c r="D15" s="53"/>
      <c r="E15" s="54"/>
      <c r="F15" s="54"/>
      <c r="G15" s="55"/>
      <c r="H15" s="56"/>
      <c r="I15" s="57"/>
      <c r="J15" s="53"/>
      <c r="K15" s="54"/>
      <c r="L15" s="54"/>
      <c r="M15" s="55"/>
      <c r="N15" s="56"/>
      <c r="O15" s="57"/>
      <c r="P15" s="53"/>
      <c r="Q15" s="54"/>
      <c r="R15" s="54"/>
      <c r="S15" s="55"/>
      <c r="T15" s="56"/>
      <c r="U15" s="57"/>
      <c r="V15" s="53"/>
      <c r="W15" s="54"/>
      <c r="X15" s="54"/>
      <c r="Y15" s="55"/>
      <c r="Z15" s="58"/>
      <c r="AA15" s="47"/>
      <c r="AB15" s="48">
        <f t="shared" si="5"/>
        <v>0</v>
      </c>
      <c r="AC15" s="49">
        <f t="shared" ref="AC15:AD15" si="9">G15+M15+S15+Y15</f>
        <v>0</v>
      </c>
      <c r="AD15" s="49">
        <f t="shared" si="9"/>
        <v>0</v>
      </c>
    </row>
    <row r="16" spans="1:30" ht="13.5" hidden="1" customHeight="1" x14ac:dyDescent="0.2">
      <c r="A16" s="50">
        <v>5</v>
      </c>
      <c r="B16" s="51"/>
      <c r="C16" s="52"/>
      <c r="D16" s="53"/>
      <c r="E16" s="54"/>
      <c r="F16" s="54"/>
      <c r="G16" s="55"/>
      <c r="H16" s="56"/>
      <c r="I16" s="57"/>
      <c r="J16" s="53"/>
      <c r="K16" s="54"/>
      <c r="L16" s="54"/>
      <c r="M16" s="55"/>
      <c r="N16" s="56"/>
      <c r="O16" s="57"/>
      <c r="P16" s="53"/>
      <c r="Q16" s="54"/>
      <c r="R16" s="54"/>
      <c r="S16" s="55"/>
      <c r="T16" s="56"/>
      <c r="U16" s="57"/>
      <c r="V16" s="53"/>
      <c r="W16" s="54"/>
      <c r="X16" s="54"/>
      <c r="Y16" s="55"/>
      <c r="Z16" s="58"/>
      <c r="AA16" s="47"/>
      <c r="AB16" s="48">
        <f t="shared" si="5"/>
        <v>0</v>
      </c>
      <c r="AC16" s="49">
        <f t="shared" ref="AC16:AD16" si="10">G16+M16+S16+Y16</f>
        <v>0</v>
      </c>
      <c r="AD16" s="49">
        <f t="shared" si="10"/>
        <v>0</v>
      </c>
    </row>
    <row r="17" spans="1:30" ht="13.5" hidden="1" customHeight="1" x14ac:dyDescent="0.2">
      <c r="A17" s="50">
        <v>6</v>
      </c>
      <c r="B17" s="51"/>
      <c r="C17" s="52"/>
      <c r="D17" s="53"/>
      <c r="E17" s="54"/>
      <c r="F17" s="54"/>
      <c r="G17" s="55"/>
      <c r="H17" s="56"/>
      <c r="I17" s="57"/>
      <c r="J17" s="53"/>
      <c r="K17" s="54"/>
      <c r="L17" s="54"/>
      <c r="M17" s="55"/>
      <c r="N17" s="56"/>
      <c r="O17" s="57"/>
      <c r="P17" s="53"/>
      <c r="Q17" s="54"/>
      <c r="R17" s="54"/>
      <c r="S17" s="55"/>
      <c r="T17" s="56"/>
      <c r="U17" s="57"/>
      <c r="V17" s="53"/>
      <c r="W17" s="54"/>
      <c r="X17" s="54"/>
      <c r="Y17" s="55"/>
      <c r="Z17" s="58"/>
      <c r="AA17" s="47"/>
      <c r="AB17" s="48">
        <f t="shared" si="5"/>
        <v>0</v>
      </c>
      <c r="AC17" s="49">
        <f t="shared" ref="AC17:AD17" si="11">G17+M17+S17+Y17</f>
        <v>0</v>
      </c>
      <c r="AD17" s="49">
        <f t="shared" si="11"/>
        <v>0</v>
      </c>
    </row>
    <row r="18" spans="1:30" ht="13.5" hidden="1" customHeight="1" x14ac:dyDescent="0.2">
      <c r="A18" s="50">
        <v>7</v>
      </c>
      <c r="B18" s="51"/>
      <c r="C18" s="52"/>
      <c r="D18" s="53"/>
      <c r="E18" s="54"/>
      <c r="F18" s="54"/>
      <c r="G18" s="55"/>
      <c r="H18" s="56"/>
      <c r="I18" s="57"/>
      <c r="J18" s="53"/>
      <c r="K18" s="54"/>
      <c r="L18" s="54"/>
      <c r="M18" s="55"/>
      <c r="N18" s="56"/>
      <c r="O18" s="57"/>
      <c r="P18" s="53"/>
      <c r="Q18" s="54"/>
      <c r="R18" s="54"/>
      <c r="S18" s="55"/>
      <c r="T18" s="56"/>
      <c r="U18" s="57"/>
      <c r="V18" s="53"/>
      <c r="W18" s="54"/>
      <c r="X18" s="54"/>
      <c r="Y18" s="55"/>
      <c r="Z18" s="58"/>
      <c r="AA18" s="47"/>
      <c r="AB18" s="48">
        <f t="shared" si="5"/>
        <v>0</v>
      </c>
      <c r="AC18" s="49">
        <f t="shared" ref="AC18:AD18" si="12">G18+M18+S18+Y18</f>
        <v>0</v>
      </c>
      <c r="AD18" s="49">
        <f t="shared" si="12"/>
        <v>0</v>
      </c>
    </row>
    <row r="19" spans="1:30" ht="13.5" hidden="1" customHeight="1" x14ac:dyDescent="0.2">
      <c r="A19" s="50">
        <v>8</v>
      </c>
      <c r="B19" s="51"/>
      <c r="C19" s="52"/>
      <c r="D19" s="53"/>
      <c r="E19" s="54"/>
      <c r="F19" s="54"/>
      <c r="G19" s="55"/>
      <c r="H19" s="56"/>
      <c r="I19" s="57"/>
      <c r="J19" s="53"/>
      <c r="K19" s="54"/>
      <c r="L19" s="54"/>
      <c r="M19" s="55"/>
      <c r="N19" s="56"/>
      <c r="O19" s="57"/>
      <c r="P19" s="53"/>
      <c r="Q19" s="54"/>
      <c r="R19" s="54"/>
      <c r="S19" s="55"/>
      <c r="T19" s="56"/>
      <c r="U19" s="57"/>
      <c r="V19" s="53"/>
      <c r="W19" s="54"/>
      <c r="X19" s="54"/>
      <c r="Y19" s="55"/>
      <c r="Z19" s="58"/>
      <c r="AA19" s="47"/>
      <c r="AB19" s="48">
        <f t="shared" si="5"/>
        <v>0</v>
      </c>
      <c r="AC19" s="49">
        <f t="shared" ref="AC19:AD19" si="13">G19+M19+S19+Y19</f>
        <v>0</v>
      </c>
      <c r="AD19" s="49">
        <f t="shared" si="13"/>
        <v>0</v>
      </c>
    </row>
    <row r="20" spans="1:30" ht="13.5" hidden="1" customHeight="1" x14ac:dyDescent="0.2">
      <c r="A20" s="50">
        <v>9</v>
      </c>
      <c r="B20" s="51"/>
      <c r="C20" s="52"/>
      <c r="D20" s="53"/>
      <c r="E20" s="54"/>
      <c r="F20" s="54"/>
      <c r="G20" s="55"/>
      <c r="H20" s="56"/>
      <c r="I20" s="57"/>
      <c r="J20" s="53"/>
      <c r="K20" s="54"/>
      <c r="L20" s="54"/>
      <c r="M20" s="55"/>
      <c r="N20" s="56"/>
      <c r="O20" s="57"/>
      <c r="P20" s="53"/>
      <c r="Q20" s="54"/>
      <c r="R20" s="54"/>
      <c r="S20" s="55"/>
      <c r="T20" s="56"/>
      <c r="U20" s="57"/>
      <c r="V20" s="53"/>
      <c r="W20" s="54"/>
      <c r="X20" s="54"/>
      <c r="Y20" s="55"/>
      <c r="Z20" s="58"/>
      <c r="AA20" s="47"/>
      <c r="AB20" s="48">
        <f t="shared" si="5"/>
        <v>0</v>
      </c>
      <c r="AC20" s="49">
        <f t="shared" ref="AC20:AD20" si="14">G20+M20+S20+Y20</f>
        <v>0</v>
      </c>
      <c r="AD20" s="49">
        <f t="shared" si="14"/>
        <v>0</v>
      </c>
    </row>
    <row r="21" spans="1:30" ht="13.5" hidden="1" customHeight="1" x14ac:dyDescent="0.2">
      <c r="A21" s="50">
        <v>10</v>
      </c>
      <c r="B21" s="51"/>
      <c r="C21" s="52"/>
      <c r="D21" s="53"/>
      <c r="E21" s="54"/>
      <c r="F21" s="54"/>
      <c r="G21" s="55"/>
      <c r="H21" s="56"/>
      <c r="I21" s="57"/>
      <c r="J21" s="53"/>
      <c r="K21" s="54"/>
      <c r="L21" s="54"/>
      <c r="M21" s="55"/>
      <c r="N21" s="56"/>
      <c r="O21" s="57"/>
      <c r="P21" s="53"/>
      <c r="Q21" s="54"/>
      <c r="R21" s="54"/>
      <c r="S21" s="55"/>
      <c r="T21" s="56"/>
      <c r="U21" s="57"/>
      <c r="V21" s="53"/>
      <c r="W21" s="54"/>
      <c r="X21" s="54"/>
      <c r="Y21" s="55"/>
      <c r="Z21" s="58"/>
      <c r="AA21" s="47"/>
      <c r="AB21" s="48">
        <f t="shared" si="5"/>
        <v>0</v>
      </c>
      <c r="AC21" s="49">
        <f t="shared" ref="AC21:AD21" si="15">G21+M21+S21+Y21</f>
        <v>0</v>
      </c>
      <c r="AD21" s="49">
        <f t="shared" si="15"/>
        <v>0</v>
      </c>
    </row>
    <row r="22" spans="1:30" ht="13.5" hidden="1" customHeight="1" x14ac:dyDescent="0.2">
      <c r="A22" s="50">
        <v>11</v>
      </c>
      <c r="B22" s="51"/>
      <c r="C22" s="52"/>
      <c r="D22" s="53"/>
      <c r="E22" s="54"/>
      <c r="F22" s="54"/>
      <c r="G22" s="55"/>
      <c r="H22" s="56"/>
      <c r="I22" s="57"/>
      <c r="J22" s="53"/>
      <c r="K22" s="54"/>
      <c r="L22" s="54"/>
      <c r="M22" s="55"/>
      <c r="N22" s="56"/>
      <c r="O22" s="57"/>
      <c r="P22" s="53"/>
      <c r="Q22" s="54"/>
      <c r="R22" s="54"/>
      <c r="S22" s="54"/>
      <c r="T22" s="54"/>
      <c r="U22" s="57"/>
      <c r="V22" s="53"/>
      <c r="W22" s="54"/>
      <c r="X22" s="54"/>
      <c r="Y22" s="55"/>
      <c r="Z22" s="58"/>
      <c r="AA22" s="47"/>
      <c r="AB22" s="48">
        <f t="shared" si="5"/>
        <v>0</v>
      </c>
      <c r="AC22" s="49">
        <f t="shared" ref="AC22:AD22" si="16">G22+M22+S22+Y22</f>
        <v>0</v>
      </c>
      <c r="AD22" s="49">
        <f t="shared" si="16"/>
        <v>0</v>
      </c>
    </row>
    <row r="23" spans="1:30" ht="13.5" hidden="1" customHeight="1" x14ac:dyDescent="0.2">
      <c r="A23" s="50">
        <v>12</v>
      </c>
      <c r="B23" s="51"/>
      <c r="C23" s="52"/>
      <c r="D23" s="53"/>
      <c r="E23" s="54"/>
      <c r="F23" s="54"/>
      <c r="G23" s="55"/>
      <c r="H23" s="56"/>
      <c r="I23" s="57"/>
      <c r="J23" s="53"/>
      <c r="K23" s="54"/>
      <c r="L23" s="54"/>
      <c r="M23" s="55"/>
      <c r="N23" s="56"/>
      <c r="O23" s="57"/>
      <c r="P23" s="53"/>
      <c r="Q23" s="54"/>
      <c r="R23" s="54"/>
      <c r="S23" s="54"/>
      <c r="T23" s="54"/>
      <c r="U23" s="57"/>
      <c r="V23" s="53"/>
      <c r="W23" s="54"/>
      <c r="X23" s="54"/>
      <c r="Y23" s="55"/>
      <c r="Z23" s="58"/>
      <c r="AA23" s="47"/>
      <c r="AB23" s="48">
        <f t="shared" si="5"/>
        <v>0</v>
      </c>
      <c r="AC23" s="49">
        <f t="shared" ref="AC23:AD23" si="17">G23+M23+S23+Y23</f>
        <v>0</v>
      </c>
      <c r="AD23" s="49">
        <f t="shared" si="17"/>
        <v>0</v>
      </c>
    </row>
    <row r="24" spans="1:30" ht="13.5" customHeight="1" x14ac:dyDescent="0.2">
      <c r="A24" s="224" t="s">
        <v>37</v>
      </c>
      <c r="B24" s="225"/>
      <c r="C24" s="59"/>
      <c r="D24" s="60"/>
      <c r="E24" s="60"/>
      <c r="F24" s="60"/>
      <c r="G24" s="36"/>
      <c r="H24" s="37"/>
      <c r="I24" s="38"/>
      <c r="J24" s="60"/>
      <c r="K24" s="60"/>
      <c r="L24" s="60"/>
      <c r="M24" s="36"/>
      <c r="N24" s="37"/>
      <c r="O24" s="38"/>
      <c r="P24" s="60"/>
      <c r="Q24" s="60"/>
      <c r="R24" s="60"/>
      <c r="S24" s="36"/>
      <c r="T24" s="37"/>
      <c r="U24" s="38"/>
      <c r="V24" s="60"/>
      <c r="W24" s="60"/>
      <c r="X24" s="60"/>
      <c r="Y24" s="36"/>
      <c r="Z24" s="39"/>
      <c r="AA24" s="40"/>
      <c r="AB24" s="41"/>
      <c r="AC24" s="36"/>
      <c r="AD24" s="36"/>
    </row>
    <row r="25" spans="1:30" ht="13.5" customHeight="1" x14ac:dyDescent="0.2">
      <c r="A25" s="226" t="s">
        <v>38</v>
      </c>
      <c r="B25" s="209"/>
      <c r="C25" s="61"/>
      <c r="D25" s="53"/>
      <c r="E25" s="62"/>
      <c r="F25" s="62"/>
      <c r="G25" s="55"/>
      <c r="H25" s="56"/>
      <c r="I25" s="63"/>
      <c r="J25" s="53"/>
      <c r="K25" s="62"/>
      <c r="L25" s="62"/>
      <c r="M25" s="55"/>
      <c r="N25" s="56"/>
      <c r="O25" s="63"/>
      <c r="P25" s="53"/>
      <c r="Q25" s="62"/>
      <c r="R25" s="62"/>
      <c r="S25" s="55"/>
      <c r="T25" s="56"/>
      <c r="U25" s="63"/>
      <c r="V25" s="53"/>
      <c r="W25" s="62"/>
      <c r="X25" s="62"/>
      <c r="Y25" s="55"/>
      <c r="Z25" s="58"/>
      <c r="AA25" s="47"/>
      <c r="AB25" s="48" t="str">
        <f t="shared" ref="AB25:AB32" si="18">IF(D25+J25+P25+V25=0,"",D25+J25+P25+V25)</f>
        <v/>
      </c>
      <c r="AC25" s="49">
        <f t="shared" ref="AC25:AD25" si="19">G25+M25+S25+Y25</f>
        <v>0</v>
      </c>
      <c r="AD25" s="49">
        <f t="shared" si="19"/>
        <v>0</v>
      </c>
    </row>
    <row r="26" spans="1:30" ht="13.5" customHeight="1" x14ac:dyDescent="0.2">
      <c r="A26" s="226" t="s">
        <v>39</v>
      </c>
      <c r="B26" s="209"/>
      <c r="C26" s="61"/>
      <c r="D26" s="53"/>
      <c r="E26" s="62"/>
      <c r="F26" s="62"/>
      <c r="G26" s="55"/>
      <c r="H26" s="56"/>
      <c r="I26" s="63"/>
      <c r="J26" s="53"/>
      <c r="K26" s="62"/>
      <c r="L26" s="62"/>
      <c r="M26" s="55"/>
      <c r="N26" s="56"/>
      <c r="O26" s="63"/>
      <c r="P26" s="53"/>
      <c r="Q26" s="62"/>
      <c r="R26" s="62"/>
      <c r="S26" s="55"/>
      <c r="T26" s="56"/>
      <c r="U26" s="63"/>
      <c r="V26" s="53"/>
      <c r="W26" s="62"/>
      <c r="X26" s="62"/>
      <c r="Y26" s="55"/>
      <c r="Z26" s="58"/>
      <c r="AA26" s="47"/>
      <c r="AB26" s="48" t="str">
        <f t="shared" si="18"/>
        <v/>
      </c>
      <c r="AC26" s="49">
        <f t="shared" ref="AC26:AD26" si="20">G26+M26+S26+Y26</f>
        <v>0</v>
      </c>
      <c r="AD26" s="49">
        <f t="shared" si="20"/>
        <v>0</v>
      </c>
    </row>
    <row r="27" spans="1:30" ht="13.5" customHeight="1" x14ac:dyDescent="0.2">
      <c r="A27" s="226" t="s">
        <v>40</v>
      </c>
      <c r="B27" s="209"/>
      <c r="C27" s="61"/>
      <c r="D27" s="53"/>
      <c r="E27" s="62"/>
      <c r="F27" s="62"/>
      <c r="G27" s="55"/>
      <c r="H27" s="56"/>
      <c r="I27" s="63"/>
      <c r="J27" s="53"/>
      <c r="K27" s="62"/>
      <c r="L27" s="62"/>
      <c r="M27" s="55"/>
      <c r="N27" s="56"/>
      <c r="O27" s="63"/>
      <c r="P27" s="53"/>
      <c r="Q27" s="62"/>
      <c r="R27" s="62"/>
      <c r="S27" s="55"/>
      <c r="T27" s="56"/>
      <c r="U27" s="63"/>
      <c r="V27" s="53"/>
      <c r="W27" s="62"/>
      <c r="X27" s="62"/>
      <c r="Y27" s="55"/>
      <c r="Z27" s="58"/>
      <c r="AA27" s="47"/>
      <c r="AB27" s="48" t="str">
        <f t="shared" si="18"/>
        <v/>
      </c>
      <c r="AC27" s="49">
        <f t="shared" ref="AC27:AD27" si="21">G27+M27+S27+Y27</f>
        <v>0</v>
      </c>
      <c r="AD27" s="49">
        <f t="shared" si="21"/>
        <v>0</v>
      </c>
    </row>
    <row r="28" spans="1:30" ht="13.5" customHeight="1" x14ac:dyDescent="0.2">
      <c r="A28" s="226" t="s">
        <v>41</v>
      </c>
      <c r="B28" s="209"/>
      <c r="C28" s="61"/>
      <c r="D28" s="53"/>
      <c r="E28" s="62"/>
      <c r="F28" s="62"/>
      <c r="G28" s="55"/>
      <c r="H28" s="56"/>
      <c r="I28" s="63"/>
      <c r="J28" s="53"/>
      <c r="K28" s="62"/>
      <c r="L28" s="62"/>
      <c r="M28" s="55"/>
      <c r="N28" s="56"/>
      <c r="O28" s="63"/>
      <c r="P28" s="53"/>
      <c r="Q28" s="62"/>
      <c r="R28" s="62"/>
      <c r="S28" s="55"/>
      <c r="T28" s="56"/>
      <c r="U28" s="63"/>
      <c r="V28" s="53"/>
      <c r="W28" s="62"/>
      <c r="X28" s="62"/>
      <c r="Y28" s="55"/>
      <c r="Z28" s="58"/>
      <c r="AA28" s="47"/>
      <c r="AB28" s="48" t="str">
        <f t="shared" si="18"/>
        <v/>
      </c>
      <c r="AC28" s="49">
        <f t="shared" ref="AC28:AD28" si="22">G28+M28+S28+Y28</f>
        <v>0</v>
      </c>
      <c r="AD28" s="49">
        <f t="shared" si="22"/>
        <v>0</v>
      </c>
    </row>
    <row r="29" spans="1:30" ht="13.5" customHeight="1" x14ac:dyDescent="0.2">
      <c r="A29" s="42" t="s">
        <v>42</v>
      </c>
      <c r="B29" s="246" t="s">
        <v>191</v>
      </c>
      <c r="C29" s="61"/>
      <c r="D29" s="53"/>
      <c r="E29" s="62"/>
      <c r="F29" s="62"/>
      <c r="G29" s="55"/>
      <c r="H29" s="56">
        <v>7913</v>
      </c>
      <c r="I29" s="63"/>
      <c r="J29" s="53"/>
      <c r="K29" s="62"/>
      <c r="L29" s="62"/>
      <c r="M29" s="55"/>
      <c r="N29" s="56"/>
      <c r="O29" s="63"/>
      <c r="P29" s="53"/>
      <c r="Q29" s="62"/>
      <c r="R29" s="62"/>
      <c r="S29" s="55"/>
      <c r="T29" s="56"/>
      <c r="U29" s="63"/>
      <c r="V29" s="53"/>
      <c r="W29" s="62"/>
      <c r="X29" s="62"/>
      <c r="Y29" s="55"/>
      <c r="Z29" s="58"/>
      <c r="AA29" s="47"/>
      <c r="AB29" s="48" t="str">
        <f t="shared" si="18"/>
        <v/>
      </c>
      <c r="AC29" s="49">
        <f t="shared" ref="AC29:AD29" si="23">G29+M29+S29+Y29</f>
        <v>0</v>
      </c>
      <c r="AD29" s="49">
        <f t="shared" si="23"/>
        <v>7913</v>
      </c>
    </row>
    <row r="30" spans="1:30" ht="13.5" customHeight="1" x14ac:dyDescent="0.2">
      <c r="A30" s="64" t="s">
        <v>43</v>
      </c>
      <c r="B30" s="51"/>
      <c r="C30" s="61"/>
      <c r="D30" s="53"/>
      <c r="E30" s="62"/>
      <c r="F30" s="62"/>
      <c r="G30" s="55"/>
      <c r="H30" s="56"/>
      <c r="I30" s="63"/>
      <c r="J30" s="53"/>
      <c r="K30" s="62"/>
      <c r="L30" s="62"/>
      <c r="M30" s="55"/>
      <c r="N30" s="56"/>
      <c r="O30" s="63"/>
      <c r="P30" s="53"/>
      <c r="Q30" s="62"/>
      <c r="R30" s="62"/>
      <c r="S30" s="55"/>
      <c r="T30" s="56"/>
      <c r="U30" s="63"/>
      <c r="V30" s="53"/>
      <c r="W30" s="62"/>
      <c r="X30" s="62"/>
      <c r="Y30" s="55"/>
      <c r="Z30" s="58"/>
      <c r="AA30" s="47"/>
      <c r="AB30" s="48" t="str">
        <f t="shared" si="18"/>
        <v/>
      </c>
      <c r="AC30" s="49">
        <f t="shared" ref="AC30:AD30" si="24">G30+M30+S30+Y30</f>
        <v>0</v>
      </c>
      <c r="AD30" s="49">
        <f t="shared" si="24"/>
        <v>0</v>
      </c>
    </row>
    <row r="31" spans="1:30" ht="13.5" customHeight="1" x14ac:dyDescent="0.2">
      <c r="A31" s="64" t="s">
        <v>44</v>
      </c>
      <c r="B31" s="51"/>
      <c r="C31" s="61"/>
      <c r="D31" s="53"/>
      <c r="E31" s="62"/>
      <c r="F31" s="62"/>
      <c r="G31" s="55"/>
      <c r="H31" s="56"/>
      <c r="I31" s="63"/>
      <c r="J31" s="53"/>
      <c r="K31" s="62"/>
      <c r="L31" s="62"/>
      <c r="M31" s="55"/>
      <c r="N31" s="56"/>
      <c r="O31" s="63"/>
      <c r="P31" s="53"/>
      <c r="Q31" s="62"/>
      <c r="R31" s="62"/>
      <c r="S31" s="55"/>
      <c r="T31" s="56"/>
      <c r="U31" s="63"/>
      <c r="V31" s="53"/>
      <c r="W31" s="62"/>
      <c r="X31" s="62"/>
      <c r="Y31" s="55"/>
      <c r="Z31" s="58"/>
      <c r="AA31" s="47"/>
      <c r="AB31" s="48" t="str">
        <f t="shared" si="18"/>
        <v/>
      </c>
      <c r="AC31" s="49">
        <f t="shared" ref="AC31:AD31" si="25">G31+M31+S31+Y31</f>
        <v>0</v>
      </c>
      <c r="AD31" s="49">
        <f t="shared" si="25"/>
        <v>0</v>
      </c>
    </row>
    <row r="32" spans="1:30" ht="13.5" customHeight="1" x14ac:dyDescent="0.2">
      <c r="A32" s="64" t="s">
        <v>45</v>
      </c>
      <c r="B32" s="51"/>
      <c r="C32" s="61"/>
      <c r="D32" s="53"/>
      <c r="E32" s="62"/>
      <c r="F32" s="62"/>
      <c r="G32" s="55"/>
      <c r="H32" s="56"/>
      <c r="I32" s="63"/>
      <c r="J32" s="53"/>
      <c r="K32" s="62"/>
      <c r="L32" s="62"/>
      <c r="M32" s="55"/>
      <c r="N32" s="56"/>
      <c r="O32" s="63"/>
      <c r="P32" s="53"/>
      <c r="Q32" s="62"/>
      <c r="R32" s="62"/>
      <c r="S32" s="55"/>
      <c r="T32" s="56"/>
      <c r="U32" s="63"/>
      <c r="V32" s="53"/>
      <c r="W32" s="62"/>
      <c r="X32" s="62"/>
      <c r="Y32" s="55"/>
      <c r="Z32" s="58"/>
      <c r="AA32" s="47"/>
      <c r="AB32" s="48" t="str">
        <f t="shared" si="18"/>
        <v/>
      </c>
      <c r="AC32" s="49">
        <f t="shared" ref="AC32:AD32" si="26">G32+M32+S32+Y32</f>
        <v>0</v>
      </c>
      <c r="AD32" s="49">
        <f t="shared" si="26"/>
        <v>0</v>
      </c>
    </row>
    <row r="33" spans="1:30" ht="15" customHeight="1" x14ac:dyDescent="0.2">
      <c r="A33" s="227" t="s">
        <v>46</v>
      </c>
      <c r="B33" s="228"/>
      <c r="C33" s="65">
        <f t="shared" ref="C33:Z33" si="27">SUM(C11,C25:C32)</f>
        <v>1</v>
      </c>
      <c r="D33" s="66">
        <f t="shared" si="27"/>
        <v>24</v>
      </c>
      <c r="E33" s="65">
        <f t="shared" si="27"/>
        <v>40889</v>
      </c>
      <c r="F33" s="65">
        <f t="shared" si="27"/>
        <v>4332</v>
      </c>
      <c r="G33" s="65">
        <f t="shared" si="27"/>
        <v>45222</v>
      </c>
      <c r="H33" s="67">
        <f t="shared" si="27"/>
        <v>7913</v>
      </c>
      <c r="I33" s="68">
        <f t="shared" si="27"/>
        <v>0</v>
      </c>
      <c r="J33" s="66">
        <f t="shared" si="27"/>
        <v>0</v>
      </c>
      <c r="K33" s="65">
        <f t="shared" si="27"/>
        <v>0</v>
      </c>
      <c r="L33" s="65">
        <f t="shared" si="27"/>
        <v>0</v>
      </c>
      <c r="M33" s="65">
        <f t="shared" si="27"/>
        <v>0</v>
      </c>
      <c r="N33" s="67">
        <f t="shared" si="27"/>
        <v>0</v>
      </c>
      <c r="O33" s="69">
        <f t="shared" si="27"/>
        <v>0</v>
      </c>
      <c r="P33" s="65">
        <f t="shared" si="27"/>
        <v>0</v>
      </c>
      <c r="Q33" s="65">
        <f t="shared" si="27"/>
        <v>0</v>
      </c>
      <c r="R33" s="65">
        <f t="shared" si="27"/>
        <v>0</v>
      </c>
      <c r="S33" s="65">
        <f t="shared" si="27"/>
        <v>0</v>
      </c>
      <c r="T33" s="67">
        <f t="shared" si="27"/>
        <v>0</v>
      </c>
      <c r="U33" s="69">
        <f t="shared" si="27"/>
        <v>0</v>
      </c>
      <c r="V33" s="65">
        <f t="shared" si="27"/>
        <v>0</v>
      </c>
      <c r="W33" s="65">
        <f t="shared" si="27"/>
        <v>0</v>
      </c>
      <c r="X33" s="65">
        <f t="shared" si="27"/>
        <v>0</v>
      </c>
      <c r="Y33" s="65">
        <f t="shared" si="27"/>
        <v>0</v>
      </c>
      <c r="Z33" s="67">
        <f t="shared" si="27"/>
        <v>0</v>
      </c>
      <c r="AA33" s="40"/>
      <c r="AB33" s="48">
        <f t="shared" ref="AB33:AD33" si="28">AB11+SUM(AB25:AB32)</f>
        <v>24</v>
      </c>
      <c r="AC33" s="70">
        <f t="shared" si="28"/>
        <v>45222</v>
      </c>
      <c r="AD33" s="70">
        <f t="shared" si="28"/>
        <v>7913</v>
      </c>
    </row>
    <row r="34" spans="1:30" ht="12.75" customHeight="1" x14ac:dyDescent="0.2">
      <c r="A34" s="229" t="s">
        <v>47</v>
      </c>
      <c r="B34" s="214"/>
      <c r="C34" s="71"/>
      <c r="D34" s="71"/>
      <c r="E34" s="71"/>
      <c r="F34" s="72"/>
      <c r="G34" s="73"/>
      <c r="H34" s="74"/>
      <c r="I34" s="75"/>
      <c r="J34" s="1"/>
      <c r="K34" s="1"/>
      <c r="L34" s="76"/>
      <c r="M34" s="73"/>
      <c r="N34" s="74"/>
      <c r="O34" s="75"/>
      <c r="P34" s="1"/>
      <c r="Q34" s="1"/>
      <c r="R34" s="76"/>
      <c r="S34" s="73"/>
      <c r="T34" s="74"/>
      <c r="U34" s="75"/>
      <c r="V34" s="1"/>
      <c r="W34" s="1"/>
      <c r="X34" s="76"/>
      <c r="Y34" s="73"/>
      <c r="Z34" s="77"/>
      <c r="AA34" s="78"/>
      <c r="AB34" s="1"/>
      <c r="AC34" s="79"/>
      <c r="AD34" s="79"/>
    </row>
    <row r="35" spans="1:30" ht="12.75" customHeight="1" x14ac:dyDescent="0.2">
      <c r="A35" s="80" t="s">
        <v>48</v>
      </c>
      <c r="B35" s="81"/>
      <c r="C35" s="82"/>
      <c r="D35" s="82"/>
      <c r="E35" s="82"/>
      <c r="F35" s="83"/>
      <c r="G35" s="84"/>
      <c r="H35" s="56"/>
      <c r="I35" s="85"/>
      <c r="J35" s="86"/>
      <c r="K35" s="86"/>
      <c r="L35" s="87"/>
      <c r="M35" s="84"/>
      <c r="N35" s="56"/>
      <c r="O35" s="75"/>
      <c r="P35" s="88"/>
      <c r="Q35" s="88"/>
      <c r="R35" s="89"/>
      <c r="S35" s="84"/>
      <c r="T35" s="56"/>
      <c r="U35" s="75"/>
      <c r="V35" s="88"/>
      <c r="W35" s="88"/>
      <c r="X35" s="89"/>
      <c r="Y35" s="84"/>
      <c r="Z35" s="58"/>
      <c r="AA35" s="78"/>
      <c r="AB35" s="88"/>
      <c r="AC35" s="49">
        <f t="shared" ref="AC35:AD35" si="29">G35+M35+S35+Y35</f>
        <v>0</v>
      </c>
      <c r="AD35" s="49">
        <f t="shared" si="29"/>
        <v>0</v>
      </c>
    </row>
    <row r="36" spans="1:30" ht="12.75" customHeight="1" x14ac:dyDescent="0.2">
      <c r="A36" s="90" t="s">
        <v>49</v>
      </c>
      <c r="B36" s="91"/>
      <c r="C36" s="92"/>
      <c r="D36" s="92"/>
      <c r="E36" s="92"/>
      <c r="F36" s="93"/>
      <c r="G36" s="84"/>
      <c r="H36" s="56"/>
      <c r="I36" s="85"/>
      <c r="J36" s="86"/>
      <c r="K36" s="86"/>
      <c r="L36" s="87"/>
      <c r="M36" s="84"/>
      <c r="N36" s="56"/>
      <c r="O36" s="75"/>
      <c r="P36" s="88"/>
      <c r="Q36" s="88"/>
      <c r="R36" s="89"/>
      <c r="S36" s="84"/>
      <c r="T36" s="56"/>
      <c r="U36" s="75"/>
      <c r="V36" s="88"/>
      <c r="W36" s="88"/>
      <c r="X36" s="89"/>
      <c r="Y36" s="84"/>
      <c r="Z36" s="58"/>
      <c r="AA36" s="78"/>
      <c r="AB36" s="88"/>
      <c r="AC36" s="49">
        <f t="shared" ref="AC36:AD36" si="30">G36+M36+S36+Y36</f>
        <v>0</v>
      </c>
      <c r="AD36" s="49">
        <f t="shared" si="30"/>
        <v>0</v>
      </c>
    </row>
    <row r="37" spans="1:30" ht="12.75" customHeight="1" x14ac:dyDescent="0.2">
      <c r="A37" s="90" t="s">
        <v>50</v>
      </c>
      <c r="B37" s="91"/>
      <c r="C37" s="92"/>
      <c r="D37" s="92"/>
      <c r="E37" s="92"/>
      <c r="F37" s="93"/>
      <c r="G37" s="94"/>
      <c r="H37" s="95"/>
      <c r="I37" s="85"/>
      <c r="J37" s="86"/>
      <c r="K37" s="86"/>
      <c r="L37" s="87"/>
      <c r="M37" s="94"/>
      <c r="N37" s="95"/>
      <c r="O37" s="75"/>
      <c r="P37" s="88"/>
      <c r="Q37" s="88"/>
      <c r="R37" s="89"/>
      <c r="S37" s="94"/>
      <c r="T37" s="95"/>
      <c r="U37" s="75"/>
      <c r="V37" s="88"/>
      <c r="W37" s="88"/>
      <c r="X37" s="89"/>
      <c r="Y37" s="94"/>
      <c r="Z37" s="96"/>
      <c r="AA37" s="78"/>
      <c r="AB37" s="88"/>
      <c r="AC37" s="49">
        <f t="shared" ref="AC37:AD37" si="31">G37+M37+S37+Y37</f>
        <v>0</v>
      </c>
      <c r="AD37" s="49">
        <f t="shared" si="31"/>
        <v>0</v>
      </c>
    </row>
    <row r="38" spans="1:30" ht="12.75" customHeight="1" x14ac:dyDescent="0.2">
      <c r="A38" s="230" t="s">
        <v>51</v>
      </c>
      <c r="B38" s="231"/>
      <c r="C38" s="97"/>
      <c r="D38" s="97"/>
      <c r="E38" s="97"/>
      <c r="F38" s="98"/>
      <c r="G38" s="69">
        <f t="shared" ref="G38:H38" si="32">SUM(G35:G37)</f>
        <v>0</v>
      </c>
      <c r="H38" s="67">
        <f t="shared" si="32"/>
        <v>0</v>
      </c>
      <c r="I38" s="75"/>
      <c r="J38" s="75"/>
      <c r="K38" s="75"/>
      <c r="L38" s="99"/>
      <c r="M38" s="68">
        <f t="shared" ref="M38:N38" si="33">SUM(M35:M37)</f>
        <v>0</v>
      </c>
      <c r="N38" s="67">
        <f t="shared" si="33"/>
        <v>0</v>
      </c>
      <c r="O38" s="75"/>
      <c r="P38" s="75"/>
      <c r="Q38" s="75"/>
      <c r="R38" s="99"/>
      <c r="S38" s="68">
        <f t="shared" ref="S38:T38" si="34">SUM(S35:S37)</f>
        <v>0</v>
      </c>
      <c r="T38" s="67">
        <f t="shared" si="34"/>
        <v>0</v>
      </c>
      <c r="U38" s="75"/>
      <c r="V38" s="75"/>
      <c r="W38" s="75"/>
      <c r="X38" s="99"/>
      <c r="Y38" s="68">
        <f t="shared" ref="Y38:Z38" si="35">SUM(Y35:Y37)</f>
        <v>0</v>
      </c>
      <c r="Z38" s="67">
        <f t="shared" si="35"/>
        <v>0</v>
      </c>
      <c r="AA38" s="78"/>
      <c r="AB38" s="75"/>
      <c r="AC38" s="70">
        <f t="shared" ref="AC38:AD38" si="36">G38+M38+S38+Y38</f>
        <v>0</v>
      </c>
      <c r="AD38" s="70">
        <f t="shared" si="36"/>
        <v>0</v>
      </c>
    </row>
    <row r="39" spans="1:30" ht="12.75" customHeight="1" x14ac:dyDescent="0.2">
      <c r="A39" s="232" t="s">
        <v>52</v>
      </c>
      <c r="B39" s="214"/>
      <c r="C39" s="100"/>
      <c r="D39" s="100"/>
      <c r="E39" s="100"/>
      <c r="F39" s="72"/>
      <c r="G39" s="101"/>
      <c r="H39" s="102"/>
      <c r="I39" s="75"/>
      <c r="J39" s="75"/>
      <c r="K39" s="75"/>
      <c r="L39" s="75"/>
      <c r="M39" s="103"/>
      <c r="N39" s="104"/>
      <c r="O39" s="75"/>
      <c r="P39" s="75"/>
      <c r="Q39" s="75"/>
      <c r="R39" s="99"/>
      <c r="S39" s="101"/>
      <c r="T39" s="102"/>
      <c r="U39" s="75"/>
      <c r="V39" s="75"/>
      <c r="W39" s="75"/>
      <c r="X39" s="99"/>
      <c r="Y39" s="101"/>
      <c r="Z39" s="105"/>
      <c r="AA39" s="78"/>
      <c r="AB39" s="75"/>
      <c r="AC39" s="106"/>
      <c r="AD39" s="106"/>
    </row>
    <row r="40" spans="1:30" ht="12.75" customHeight="1" x14ac:dyDescent="0.2">
      <c r="A40" s="233" t="s">
        <v>53</v>
      </c>
      <c r="B40" s="234"/>
      <c r="C40" s="82"/>
      <c r="D40" s="82"/>
      <c r="E40" s="82"/>
      <c r="F40" s="83"/>
      <c r="G40" s="84">
        <v>2027</v>
      </c>
      <c r="H40" s="56"/>
      <c r="I40" s="75"/>
      <c r="J40" s="75"/>
      <c r="K40" s="75"/>
      <c r="L40" s="99"/>
      <c r="M40" s="107"/>
      <c r="N40" s="56"/>
      <c r="O40" s="75"/>
      <c r="P40" s="75"/>
      <c r="Q40" s="75"/>
      <c r="R40" s="99"/>
      <c r="S40" s="84"/>
      <c r="T40" s="56"/>
      <c r="U40" s="75"/>
      <c r="V40" s="75"/>
      <c r="W40" s="75"/>
      <c r="X40" s="99"/>
      <c r="Y40" s="84"/>
      <c r="Z40" s="58"/>
      <c r="AA40" s="78"/>
      <c r="AB40" s="75"/>
      <c r="AC40" s="49">
        <f t="shared" ref="AC40:AD40" si="37">G40+M40+S40+Y40</f>
        <v>2027</v>
      </c>
      <c r="AD40" s="49">
        <f t="shared" si="37"/>
        <v>0</v>
      </c>
    </row>
    <row r="41" spans="1:30" ht="12.75" customHeight="1" x14ac:dyDescent="0.2">
      <c r="A41" s="235" t="s">
        <v>54</v>
      </c>
      <c r="B41" s="206"/>
      <c r="C41" s="92"/>
      <c r="D41" s="92"/>
      <c r="E41" s="92"/>
      <c r="F41" s="93"/>
      <c r="G41" s="84"/>
      <c r="H41" s="56"/>
      <c r="I41" s="75"/>
      <c r="J41" s="75"/>
      <c r="K41" s="75"/>
      <c r="L41" s="99"/>
      <c r="M41" s="84"/>
      <c r="N41" s="56"/>
      <c r="O41" s="75"/>
      <c r="P41" s="75"/>
      <c r="Q41" s="75"/>
      <c r="R41" s="99"/>
      <c r="S41" s="84"/>
      <c r="T41" s="56"/>
      <c r="U41" s="75"/>
      <c r="V41" s="75"/>
      <c r="W41" s="75"/>
      <c r="X41" s="99"/>
      <c r="Y41" s="84"/>
      <c r="Z41" s="58"/>
      <c r="AA41" s="78"/>
      <c r="AB41" s="75"/>
      <c r="AC41" s="49">
        <f t="shared" ref="AC41:AD41" si="38">G41+M41+S41+Y41</f>
        <v>0</v>
      </c>
      <c r="AD41" s="49">
        <f t="shared" si="38"/>
        <v>0</v>
      </c>
    </row>
    <row r="42" spans="1:30" ht="12.75" customHeight="1" x14ac:dyDescent="0.2">
      <c r="A42" s="236" t="s">
        <v>55</v>
      </c>
      <c r="B42" s="237"/>
      <c r="C42" s="97"/>
      <c r="D42" s="97"/>
      <c r="E42" s="97"/>
      <c r="F42" s="98"/>
      <c r="G42" s="68">
        <f t="shared" ref="G42:H42" si="39">SUM(G40:G41)</f>
        <v>2027</v>
      </c>
      <c r="H42" s="67">
        <f t="shared" si="39"/>
        <v>0</v>
      </c>
      <c r="I42" s="75"/>
      <c r="J42" s="75"/>
      <c r="K42" s="75"/>
      <c r="L42" s="99"/>
      <c r="M42" s="68">
        <f t="shared" ref="M42:N42" si="40">SUM(M40:M41)</f>
        <v>0</v>
      </c>
      <c r="N42" s="67">
        <f t="shared" si="40"/>
        <v>0</v>
      </c>
      <c r="O42" s="75"/>
      <c r="P42" s="75"/>
      <c r="Q42" s="75"/>
      <c r="R42" s="99"/>
      <c r="S42" s="68">
        <f t="shared" ref="S42:T42" si="41">SUM(S40:S41)</f>
        <v>0</v>
      </c>
      <c r="T42" s="67">
        <f t="shared" si="41"/>
        <v>0</v>
      </c>
      <c r="U42" s="75"/>
      <c r="V42" s="75"/>
      <c r="W42" s="75"/>
      <c r="X42" s="99"/>
      <c r="Y42" s="68">
        <f t="shared" ref="Y42:Z42" si="42">SUM(Y40:Y41)</f>
        <v>0</v>
      </c>
      <c r="Z42" s="67">
        <f t="shared" si="42"/>
        <v>0</v>
      </c>
      <c r="AA42" s="78"/>
      <c r="AB42" s="75"/>
      <c r="AC42" s="70">
        <f t="shared" ref="AC42:AD42" si="43">G42+M42+S42+Y42</f>
        <v>2027</v>
      </c>
      <c r="AD42" s="70">
        <f t="shared" si="43"/>
        <v>0</v>
      </c>
    </row>
    <row r="43" spans="1:30" ht="12.75" customHeight="1" x14ac:dyDescent="0.2">
      <c r="A43" s="238" t="s">
        <v>56</v>
      </c>
      <c r="B43" s="239"/>
      <c r="C43" s="100"/>
      <c r="D43" s="100"/>
      <c r="E43" s="71"/>
      <c r="F43" s="108"/>
      <c r="G43" s="101"/>
      <c r="H43" s="102"/>
      <c r="I43" s="75"/>
      <c r="J43" s="75"/>
      <c r="K43" s="75"/>
      <c r="L43" s="99"/>
      <c r="M43" s="101"/>
      <c r="N43" s="102"/>
      <c r="O43" s="75"/>
      <c r="P43" s="75"/>
      <c r="Q43" s="75"/>
      <c r="R43" s="99"/>
      <c r="S43" s="101"/>
      <c r="T43" s="102"/>
      <c r="U43" s="75"/>
      <c r="V43" s="75"/>
      <c r="W43" s="75"/>
      <c r="X43" s="99"/>
      <c r="Y43" s="101"/>
      <c r="Z43" s="105"/>
      <c r="AA43" s="78"/>
      <c r="AB43" s="75"/>
      <c r="AC43" s="106"/>
      <c r="AD43" s="106"/>
    </row>
    <row r="44" spans="1:30" ht="12.75" customHeight="1" x14ac:dyDescent="0.2">
      <c r="A44" s="233" t="s">
        <v>57</v>
      </c>
      <c r="B44" s="234"/>
      <c r="C44" s="82"/>
      <c r="D44" s="82"/>
      <c r="E44" s="82"/>
      <c r="F44" s="83"/>
      <c r="G44" s="84"/>
      <c r="H44" s="56"/>
      <c r="I44" s="75"/>
      <c r="J44" s="75"/>
      <c r="K44" s="75"/>
      <c r="L44" s="99"/>
      <c r="M44" s="84"/>
      <c r="N44" s="56"/>
      <c r="O44" s="75"/>
      <c r="P44" s="75"/>
      <c r="Q44" s="75"/>
      <c r="R44" s="99"/>
      <c r="S44" s="84"/>
      <c r="T44" s="56"/>
      <c r="U44" s="75"/>
      <c r="V44" s="75"/>
      <c r="W44" s="75"/>
      <c r="X44" s="99"/>
      <c r="Y44" s="84"/>
      <c r="Z44" s="58"/>
      <c r="AA44" s="78"/>
      <c r="AB44" s="75"/>
      <c r="AC44" s="49">
        <f t="shared" ref="AC44:AD44" si="44">G44+M44+S44+Y44</f>
        <v>0</v>
      </c>
      <c r="AD44" s="49">
        <f t="shared" si="44"/>
        <v>0</v>
      </c>
    </row>
    <row r="45" spans="1:30" ht="12.75" customHeight="1" x14ac:dyDescent="0.2">
      <c r="A45" s="233" t="s">
        <v>58</v>
      </c>
      <c r="B45" s="234"/>
      <c r="C45" s="92"/>
      <c r="D45" s="92"/>
      <c r="E45" s="92"/>
      <c r="F45" s="93"/>
      <c r="G45" s="84"/>
      <c r="H45" s="56"/>
      <c r="I45" s="75"/>
      <c r="J45" s="75"/>
      <c r="K45" s="75"/>
      <c r="L45" s="99"/>
      <c r="M45" s="84"/>
      <c r="N45" s="56"/>
      <c r="O45" s="75"/>
      <c r="P45" s="75"/>
      <c r="Q45" s="75"/>
      <c r="R45" s="99"/>
      <c r="S45" s="84"/>
      <c r="T45" s="56"/>
      <c r="U45" s="75"/>
      <c r="V45" s="75"/>
      <c r="W45" s="75"/>
      <c r="X45" s="99"/>
      <c r="Y45" s="84"/>
      <c r="Z45" s="58"/>
      <c r="AA45" s="78"/>
      <c r="AB45" s="75"/>
      <c r="AC45" s="49">
        <f t="shared" ref="AC45:AD45" si="45">G45+M45+S45+Y45</f>
        <v>0</v>
      </c>
      <c r="AD45" s="49">
        <f t="shared" si="45"/>
        <v>0</v>
      </c>
    </row>
    <row r="46" spans="1:30" ht="12.75" customHeight="1" x14ac:dyDescent="0.2">
      <c r="A46" s="233" t="s">
        <v>59</v>
      </c>
      <c r="B46" s="234"/>
      <c r="C46" s="92"/>
      <c r="D46" s="92"/>
      <c r="E46" s="92"/>
      <c r="F46" s="93"/>
      <c r="G46" s="84"/>
      <c r="H46" s="56"/>
      <c r="I46" s="75"/>
      <c r="J46" s="75"/>
      <c r="K46" s="75"/>
      <c r="L46" s="99"/>
      <c r="M46" s="84"/>
      <c r="N46" s="56"/>
      <c r="O46" s="75"/>
      <c r="P46" s="75"/>
      <c r="Q46" s="75"/>
      <c r="R46" s="99"/>
      <c r="S46" s="84"/>
      <c r="T46" s="56"/>
      <c r="U46" s="75"/>
      <c r="V46" s="75"/>
      <c r="W46" s="75"/>
      <c r="X46" s="99"/>
      <c r="Y46" s="84"/>
      <c r="Z46" s="58"/>
      <c r="AA46" s="78"/>
      <c r="AB46" s="75"/>
      <c r="AC46" s="49">
        <f t="shared" ref="AC46:AD46" si="46">G46+M46+S46+Y46</f>
        <v>0</v>
      </c>
      <c r="AD46" s="49">
        <f t="shared" si="46"/>
        <v>0</v>
      </c>
    </row>
    <row r="47" spans="1:30" ht="12.75" customHeight="1" x14ac:dyDescent="0.2">
      <c r="A47" s="233" t="s">
        <v>60</v>
      </c>
      <c r="B47" s="234"/>
      <c r="C47" s="92"/>
      <c r="D47" s="92"/>
      <c r="E47" s="92"/>
      <c r="F47" s="93"/>
      <c r="G47" s="84"/>
      <c r="H47" s="56"/>
      <c r="I47" s="75"/>
      <c r="J47" s="75"/>
      <c r="K47" s="75"/>
      <c r="L47" s="99"/>
      <c r="M47" s="84"/>
      <c r="N47" s="56"/>
      <c r="O47" s="75"/>
      <c r="P47" s="75"/>
      <c r="Q47" s="75"/>
      <c r="R47" s="99"/>
      <c r="S47" s="84"/>
      <c r="T47" s="56"/>
      <c r="U47" s="75"/>
      <c r="V47" s="75"/>
      <c r="W47" s="75"/>
      <c r="X47" s="99"/>
      <c r="Y47" s="84"/>
      <c r="Z47" s="58"/>
      <c r="AA47" s="78"/>
      <c r="AB47" s="75"/>
      <c r="AC47" s="49">
        <f t="shared" ref="AC47:AD47" si="47">G47+M47+S47+Y47</f>
        <v>0</v>
      </c>
      <c r="AD47" s="49">
        <f t="shared" si="47"/>
        <v>0</v>
      </c>
    </row>
    <row r="48" spans="1:30" ht="12.75" customHeight="1" x14ac:dyDescent="0.2">
      <c r="A48" s="80" t="s">
        <v>61</v>
      </c>
      <c r="B48" s="91"/>
      <c r="C48" s="92"/>
      <c r="D48" s="92"/>
      <c r="E48" s="92"/>
      <c r="F48" s="93"/>
      <c r="G48" s="84"/>
      <c r="H48" s="56"/>
      <c r="I48" s="75"/>
      <c r="J48" s="75"/>
      <c r="K48" s="75"/>
      <c r="L48" s="99"/>
      <c r="M48" s="84"/>
      <c r="N48" s="56"/>
      <c r="O48" s="75"/>
      <c r="P48" s="75"/>
      <c r="Q48" s="75"/>
      <c r="R48" s="99"/>
      <c r="S48" s="84"/>
      <c r="T48" s="56"/>
      <c r="U48" s="75"/>
      <c r="V48" s="75"/>
      <c r="W48" s="75"/>
      <c r="X48" s="99"/>
      <c r="Y48" s="84"/>
      <c r="Z48" s="58"/>
      <c r="AA48" s="78"/>
      <c r="AB48" s="75"/>
      <c r="AC48" s="49">
        <f t="shared" ref="AC48:AD48" si="48">G48+M48+S48+Y48</f>
        <v>0</v>
      </c>
      <c r="AD48" s="49">
        <f t="shared" si="48"/>
        <v>0</v>
      </c>
    </row>
    <row r="49" spans="1:30" ht="12.75" customHeight="1" x14ac:dyDescent="0.2">
      <c r="A49" s="230" t="s">
        <v>62</v>
      </c>
      <c r="B49" s="231"/>
      <c r="C49" s="97"/>
      <c r="D49" s="97"/>
      <c r="E49" s="109"/>
      <c r="F49" s="108"/>
      <c r="G49" s="68">
        <f t="shared" ref="G49:H49" si="49">SUM(G44:G48)</f>
        <v>0</v>
      </c>
      <c r="H49" s="67">
        <f t="shared" si="49"/>
        <v>0</v>
      </c>
      <c r="I49" s="75"/>
      <c r="J49" s="75"/>
      <c r="K49" s="75"/>
      <c r="L49" s="99"/>
      <c r="M49" s="68">
        <f t="shared" ref="M49:N49" si="50">SUM(M44:M48)</f>
        <v>0</v>
      </c>
      <c r="N49" s="67">
        <f t="shared" si="50"/>
        <v>0</v>
      </c>
      <c r="O49" s="75"/>
      <c r="P49" s="75"/>
      <c r="Q49" s="75"/>
      <c r="R49" s="99"/>
      <c r="S49" s="68">
        <f t="shared" ref="S49:T49" si="51">SUM(S44:S48)</f>
        <v>0</v>
      </c>
      <c r="T49" s="67">
        <f t="shared" si="51"/>
        <v>0</v>
      </c>
      <c r="U49" s="75"/>
      <c r="V49" s="75"/>
      <c r="W49" s="75"/>
      <c r="X49" s="99"/>
      <c r="Y49" s="68">
        <f t="shared" ref="Y49:Z49" si="52">SUM(Y44:Y48)</f>
        <v>0</v>
      </c>
      <c r="Z49" s="67">
        <f t="shared" si="52"/>
        <v>0</v>
      </c>
      <c r="AA49" s="78"/>
      <c r="AB49" s="75"/>
      <c r="AC49" s="70">
        <f t="shared" ref="AC49:AD49" si="53">G49+M49+S49+Y49</f>
        <v>0</v>
      </c>
      <c r="AD49" s="70">
        <f t="shared" si="53"/>
        <v>0</v>
      </c>
    </row>
    <row r="50" spans="1:30" ht="12.75" customHeight="1" x14ac:dyDescent="0.2">
      <c r="A50" s="238" t="s">
        <v>63</v>
      </c>
      <c r="B50" s="239"/>
      <c r="C50" s="100"/>
      <c r="D50" s="100"/>
      <c r="E50" s="71"/>
      <c r="F50" s="72"/>
      <c r="G50" s="101"/>
      <c r="H50" s="102"/>
      <c r="I50" s="75"/>
      <c r="J50" s="75"/>
      <c r="K50" s="75"/>
      <c r="L50" s="99"/>
      <c r="M50" s="101"/>
      <c r="N50" s="102"/>
      <c r="O50" s="75"/>
      <c r="P50" s="75"/>
      <c r="Q50" s="75"/>
      <c r="R50" s="99"/>
      <c r="S50" s="101"/>
      <c r="T50" s="102"/>
      <c r="U50" s="75"/>
      <c r="V50" s="75"/>
      <c r="W50" s="75"/>
      <c r="X50" s="99"/>
      <c r="Y50" s="101"/>
      <c r="Z50" s="105"/>
      <c r="AA50" s="78"/>
      <c r="AB50" s="75"/>
      <c r="AC50" s="106"/>
      <c r="AD50" s="106"/>
    </row>
    <row r="51" spans="1:30" ht="12.75" customHeight="1" x14ac:dyDescent="0.2">
      <c r="A51" s="233" t="s">
        <v>64</v>
      </c>
      <c r="B51" s="234"/>
      <c r="C51" s="82"/>
      <c r="D51" s="82"/>
      <c r="E51" s="82"/>
      <c r="F51" s="83"/>
      <c r="G51" s="84">
        <v>9915</v>
      </c>
      <c r="H51" s="56"/>
      <c r="I51" s="75"/>
      <c r="J51" s="75"/>
      <c r="K51" s="75"/>
      <c r="L51" s="99"/>
      <c r="M51" s="84"/>
      <c r="N51" s="56"/>
      <c r="O51" s="75"/>
      <c r="P51" s="75"/>
      <c r="Q51" s="75"/>
      <c r="R51" s="99"/>
      <c r="S51" s="84"/>
      <c r="T51" s="56"/>
      <c r="U51" s="75"/>
      <c r="V51" s="75"/>
      <c r="W51" s="75"/>
      <c r="X51" s="99"/>
      <c r="Y51" s="84"/>
      <c r="Z51" s="58"/>
      <c r="AA51" s="78"/>
      <c r="AB51" s="75"/>
      <c r="AC51" s="49">
        <f t="shared" ref="AC51:AD51" si="54">G51+M51+S51+Y51</f>
        <v>9915</v>
      </c>
      <c r="AD51" s="49">
        <f t="shared" si="54"/>
        <v>0</v>
      </c>
    </row>
    <row r="52" spans="1:30" ht="12.75" customHeight="1" x14ac:dyDescent="0.2">
      <c r="A52" s="233" t="s">
        <v>65</v>
      </c>
      <c r="B52" s="234"/>
      <c r="C52" s="92"/>
      <c r="D52" s="92"/>
      <c r="E52" s="92"/>
      <c r="F52" s="93"/>
      <c r="G52" s="84"/>
      <c r="H52" s="56"/>
      <c r="I52" s="75"/>
      <c r="J52" s="75"/>
      <c r="K52" s="75"/>
      <c r="L52" s="99"/>
      <c r="M52" s="84"/>
      <c r="N52" s="56"/>
      <c r="O52" s="75"/>
      <c r="P52" s="75"/>
      <c r="Q52" s="75"/>
      <c r="R52" s="99"/>
      <c r="S52" s="84"/>
      <c r="T52" s="56"/>
      <c r="U52" s="75"/>
      <c r="V52" s="75"/>
      <c r="W52" s="75"/>
      <c r="X52" s="99"/>
      <c r="Y52" s="84"/>
      <c r="Z52" s="58"/>
      <c r="AA52" s="78"/>
      <c r="AB52" s="75"/>
      <c r="AC52" s="49">
        <f t="shared" ref="AC52:AD52" si="55">G52+M52+S52+Y52</f>
        <v>0</v>
      </c>
      <c r="AD52" s="49">
        <f t="shared" si="55"/>
        <v>0</v>
      </c>
    </row>
    <row r="53" spans="1:30" ht="12.75" customHeight="1" x14ac:dyDescent="0.2">
      <c r="A53" s="233" t="s">
        <v>66</v>
      </c>
      <c r="B53" s="234"/>
      <c r="C53" s="92"/>
      <c r="D53" s="92"/>
      <c r="E53" s="92"/>
      <c r="F53" s="93"/>
      <c r="G53" s="84"/>
      <c r="H53" s="56"/>
      <c r="I53" s="75"/>
      <c r="J53" s="75"/>
      <c r="K53" s="75"/>
      <c r="L53" s="99"/>
      <c r="M53" s="84"/>
      <c r="N53" s="56"/>
      <c r="O53" s="75"/>
      <c r="P53" s="75"/>
      <c r="Q53" s="75"/>
      <c r="R53" s="99"/>
      <c r="S53" s="84"/>
      <c r="T53" s="56"/>
      <c r="U53" s="75"/>
      <c r="V53" s="75"/>
      <c r="W53" s="75"/>
      <c r="X53" s="99"/>
      <c r="Y53" s="84"/>
      <c r="Z53" s="58"/>
      <c r="AA53" s="78"/>
      <c r="AB53" s="75"/>
      <c r="AC53" s="49">
        <f t="shared" ref="AC53:AD53" si="56">G53+M53+S53+Y53</f>
        <v>0</v>
      </c>
      <c r="AD53" s="49">
        <f t="shared" si="56"/>
        <v>0</v>
      </c>
    </row>
    <row r="54" spans="1:30" ht="12.75" customHeight="1" x14ac:dyDescent="0.2">
      <c r="A54" s="233" t="s">
        <v>67</v>
      </c>
      <c r="B54" s="234"/>
      <c r="C54" s="110"/>
      <c r="D54" s="110"/>
      <c r="E54" s="111"/>
      <c r="F54" s="112"/>
      <c r="G54" s="84"/>
      <c r="H54" s="56"/>
      <c r="I54" s="75"/>
      <c r="J54" s="75"/>
      <c r="K54" s="75"/>
      <c r="L54" s="99"/>
      <c r="M54" s="84"/>
      <c r="N54" s="56"/>
      <c r="O54" s="75"/>
      <c r="P54" s="75"/>
      <c r="Q54" s="75"/>
      <c r="R54" s="99"/>
      <c r="S54" s="84"/>
      <c r="T54" s="56"/>
      <c r="U54" s="75"/>
      <c r="V54" s="75"/>
      <c r="W54" s="75"/>
      <c r="X54" s="99"/>
      <c r="Y54" s="84"/>
      <c r="Z54" s="58"/>
      <c r="AA54" s="78"/>
      <c r="AB54" s="75"/>
      <c r="AC54" s="49">
        <f t="shared" ref="AC54:AD54" si="57">G54+M54+S54+Y54</f>
        <v>0</v>
      </c>
      <c r="AD54" s="49">
        <f t="shared" si="57"/>
        <v>0</v>
      </c>
    </row>
    <row r="55" spans="1:30" ht="12.75" customHeight="1" x14ac:dyDescent="0.2">
      <c r="A55" s="233" t="s">
        <v>68</v>
      </c>
      <c r="B55" s="234"/>
      <c r="C55" s="64"/>
      <c r="D55" s="92"/>
      <c r="E55" s="92"/>
      <c r="F55" s="112"/>
      <c r="G55" s="113">
        <f>SUM(C57:C62)</f>
        <v>0</v>
      </c>
      <c r="H55" s="114">
        <f>SUM(E57:E62)</f>
        <v>0</v>
      </c>
      <c r="I55" s="75"/>
      <c r="J55" s="75"/>
      <c r="K55" s="75"/>
      <c r="L55" s="99"/>
      <c r="M55" s="113">
        <f>SUM(I57:I62)</f>
        <v>0</v>
      </c>
      <c r="N55" s="114">
        <f>SUM(K57:K62)</f>
        <v>0</v>
      </c>
      <c r="O55" s="75"/>
      <c r="P55" s="75"/>
      <c r="Q55" s="75"/>
      <c r="R55" s="99"/>
      <c r="S55" s="113">
        <f>SUM(O57:O62)</f>
        <v>0</v>
      </c>
      <c r="T55" s="114">
        <f>SUM(Q57:Q62)</f>
        <v>0</v>
      </c>
      <c r="U55" s="75"/>
      <c r="V55" s="75"/>
      <c r="W55" s="75"/>
      <c r="X55" s="99"/>
      <c r="Y55" s="113">
        <f>SUM(U57:U62)</f>
        <v>0</v>
      </c>
      <c r="Z55" s="114">
        <f>SUM(W57:W62)</f>
        <v>0</v>
      </c>
      <c r="AA55" s="78"/>
      <c r="AB55" s="75"/>
      <c r="AC55" s="49">
        <f t="shared" ref="AC55:AD55" si="58">G55+M55+S55+Y55</f>
        <v>0</v>
      </c>
      <c r="AD55" s="49">
        <f t="shared" si="58"/>
        <v>0</v>
      </c>
    </row>
    <row r="56" spans="1:30" ht="12.75" customHeight="1" x14ac:dyDescent="0.2">
      <c r="A56" s="80"/>
      <c r="B56" s="80"/>
      <c r="C56" s="100" t="s">
        <v>69</v>
      </c>
      <c r="D56" s="100" t="s">
        <v>70</v>
      </c>
      <c r="E56" s="111" t="s">
        <v>71</v>
      </c>
      <c r="F56" s="112"/>
      <c r="G56" s="115"/>
      <c r="H56" s="116"/>
      <c r="I56" s="92" t="s">
        <v>69</v>
      </c>
      <c r="J56" s="92" t="s">
        <v>70</v>
      </c>
      <c r="K56" s="111" t="s">
        <v>71</v>
      </c>
      <c r="L56" s="117"/>
      <c r="M56" s="115"/>
      <c r="N56" s="116"/>
      <c r="O56" s="92" t="s">
        <v>69</v>
      </c>
      <c r="P56" s="92" t="s">
        <v>70</v>
      </c>
      <c r="Q56" s="111" t="s">
        <v>71</v>
      </c>
      <c r="R56" s="117"/>
      <c r="S56" s="115"/>
      <c r="T56" s="116"/>
      <c r="U56" s="92" t="s">
        <v>69</v>
      </c>
      <c r="V56" s="92" t="s">
        <v>70</v>
      </c>
      <c r="W56" s="111" t="s">
        <v>71</v>
      </c>
      <c r="X56" s="117"/>
      <c r="Y56" s="115"/>
      <c r="Z56" s="118"/>
      <c r="AA56" s="78"/>
      <c r="AB56" s="75"/>
      <c r="AC56" s="119"/>
      <c r="AD56" s="119"/>
    </row>
    <row r="57" spans="1:30" ht="12.75" customHeight="1" x14ac:dyDescent="0.2">
      <c r="A57" s="120" t="s">
        <v>72</v>
      </c>
      <c r="B57" s="51"/>
      <c r="C57" s="94"/>
      <c r="D57" s="121"/>
      <c r="E57" s="122"/>
      <c r="F57" s="123"/>
      <c r="G57" s="113">
        <f t="shared" ref="G57:G62" si="59">C57</f>
        <v>0</v>
      </c>
      <c r="H57" s="114">
        <f t="shared" ref="H57:H62" si="60">E57</f>
        <v>0</v>
      </c>
      <c r="I57" s="94"/>
      <c r="J57" s="121"/>
      <c r="K57" s="122"/>
      <c r="L57" s="123"/>
      <c r="M57" s="113">
        <f t="shared" ref="M57:M62" si="61">I57</f>
        <v>0</v>
      </c>
      <c r="N57" s="114">
        <f t="shared" ref="N57:N62" si="62">K57</f>
        <v>0</v>
      </c>
      <c r="O57" s="94"/>
      <c r="P57" s="121"/>
      <c r="Q57" s="122"/>
      <c r="R57" s="123"/>
      <c r="S57" s="113">
        <f t="shared" ref="S57:S62" si="63">O57</f>
        <v>0</v>
      </c>
      <c r="T57" s="114">
        <f t="shared" ref="T57:T62" si="64">Q57</f>
        <v>0</v>
      </c>
      <c r="U57" s="94"/>
      <c r="V57" s="121"/>
      <c r="W57" s="122"/>
      <c r="X57" s="123"/>
      <c r="Y57" s="113">
        <f t="shared" ref="Y57:Y59" si="65">U57</f>
        <v>0</v>
      </c>
      <c r="Z57" s="114">
        <f t="shared" ref="Z57:Z59" si="66">W57</f>
        <v>0</v>
      </c>
      <c r="AA57" s="78"/>
      <c r="AB57" s="75"/>
      <c r="AC57" s="49">
        <f t="shared" ref="AC57:AD57" si="67">G57+M57+S57+Y57</f>
        <v>0</v>
      </c>
      <c r="AD57" s="49">
        <f t="shared" si="67"/>
        <v>0</v>
      </c>
    </row>
    <row r="58" spans="1:30" ht="15" customHeight="1" x14ac:dyDescent="0.2">
      <c r="A58" s="120" t="s">
        <v>73</v>
      </c>
      <c r="B58" s="124"/>
      <c r="C58" s="94"/>
      <c r="D58" s="121"/>
      <c r="E58" s="122"/>
      <c r="F58" s="123"/>
      <c r="G58" s="113">
        <f t="shared" si="59"/>
        <v>0</v>
      </c>
      <c r="H58" s="114">
        <f t="shared" si="60"/>
        <v>0</v>
      </c>
      <c r="I58" s="94"/>
      <c r="J58" s="121"/>
      <c r="K58" s="122"/>
      <c r="L58" s="123"/>
      <c r="M58" s="113">
        <f t="shared" si="61"/>
        <v>0</v>
      </c>
      <c r="N58" s="114">
        <f t="shared" si="62"/>
        <v>0</v>
      </c>
      <c r="O58" s="94"/>
      <c r="P58" s="121"/>
      <c r="Q58" s="122"/>
      <c r="R58" s="123"/>
      <c r="S58" s="113">
        <f t="shared" si="63"/>
        <v>0</v>
      </c>
      <c r="T58" s="114">
        <f t="shared" si="64"/>
        <v>0</v>
      </c>
      <c r="U58" s="94"/>
      <c r="V58" s="121"/>
      <c r="W58" s="122"/>
      <c r="X58" s="123"/>
      <c r="Y58" s="113">
        <f t="shared" si="65"/>
        <v>0</v>
      </c>
      <c r="Z58" s="114">
        <f t="shared" si="66"/>
        <v>0</v>
      </c>
      <c r="AA58" s="78"/>
      <c r="AB58" s="75"/>
      <c r="AC58" s="49">
        <f t="shared" ref="AC58:AD58" si="68">G58+M58+S58+Y58</f>
        <v>0</v>
      </c>
      <c r="AD58" s="49">
        <f t="shared" si="68"/>
        <v>0</v>
      </c>
    </row>
    <row r="59" spans="1:30" ht="12.75" customHeight="1" x14ac:dyDescent="0.2">
      <c r="A59" s="120" t="s">
        <v>74</v>
      </c>
      <c r="B59" s="124"/>
      <c r="C59" s="94"/>
      <c r="D59" s="121"/>
      <c r="E59" s="122"/>
      <c r="F59" s="123"/>
      <c r="G59" s="113">
        <f t="shared" si="59"/>
        <v>0</v>
      </c>
      <c r="H59" s="114">
        <f t="shared" si="60"/>
        <v>0</v>
      </c>
      <c r="I59" s="125"/>
      <c r="J59" s="126"/>
      <c r="K59" s="127"/>
      <c r="L59" s="128"/>
      <c r="M59" s="129">
        <f t="shared" si="61"/>
        <v>0</v>
      </c>
      <c r="N59" s="114">
        <f t="shared" si="62"/>
        <v>0</v>
      </c>
      <c r="O59" s="125"/>
      <c r="P59" s="126"/>
      <c r="Q59" s="127"/>
      <c r="R59" s="128"/>
      <c r="S59" s="129">
        <f t="shared" si="63"/>
        <v>0</v>
      </c>
      <c r="T59" s="114">
        <f t="shared" si="64"/>
        <v>0</v>
      </c>
      <c r="U59" s="125"/>
      <c r="V59" s="126"/>
      <c r="W59" s="127"/>
      <c r="X59" s="128"/>
      <c r="Y59" s="129">
        <f t="shared" si="65"/>
        <v>0</v>
      </c>
      <c r="Z59" s="114">
        <f t="shared" si="66"/>
        <v>0</v>
      </c>
      <c r="AA59" s="78"/>
      <c r="AB59" s="75"/>
      <c r="AC59" s="49">
        <f t="shared" ref="AC59:AD59" si="69">G59+M59+S59+Y59</f>
        <v>0</v>
      </c>
      <c r="AD59" s="49">
        <f t="shared" si="69"/>
        <v>0</v>
      </c>
    </row>
    <row r="60" spans="1:30" ht="12.75" hidden="1" customHeight="1" x14ac:dyDescent="0.2">
      <c r="A60" s="120" t="s">
        <v>75</v>
      </c>
      <c r="B60" s="124"/>
      <c r="C60" s="94"/>
      <c r="D60" s="121"/>
      <c r="E60" s="122"/>
      <c r="F60" s="123"/>
      <c r="G60" s="113">
        <f t="shared" si="59"/>
        <v>0</v>
      </c>
      <c r="H60" s="114">
        <f t="shared" si="60"/>
        <v>0</v>
      </c>
      <c r="I60" s="130"/>
      <c r="J60" s="131"/>
      <c r="K60" s="132"/>
      <c r="L60" s="133"/>
      <c r="M60" s="134">
        <f t="shared" si="61"/>
        <v>0</v>
      </c>
      <c r="N60" s="135">
        <f t="shared" si="62"/>
        <v>0</v>
      </c>
      <c r="O60" s="130"/>
      <c r="P60" s="131"/>
      <c r="Q60" s="132"/>
      <c r="R60" s="133"/>
      <c r="S60" s="134">
        <f t="shared" si="63"/>
        <v>0</v>
      </c>
      <c r="T60" s="135">
        <f t="shared" si="64"/>
        <v>0</v>
      </c>
      <c r="U60" s="130"/>
      <c r="V60" s="131"/>
      <c r="W60" s="132"/>
      <c r="X60" s="133"/>
      <c r="Y60" s="134"/>
      <c r="Z60" s="135"/>
      <c r="AA60" s="78"/>
      <c r="AB60" s="75"/>
      <c r="AC60" s="49">
        <f t="shared" ref="AC60:AD60" si="70">G60+M60+S60+Y60</f>
        <v>0</v>
      </c>
      <c r="AD60" s="49">
        <f t="shared" si="70"/>
        <v>0</v>
      </c>
    </row>
    <row r="61" spans="1:30" ht="12.75" hidden="1" customHeight="1" x14ac:dyDescent="0.2">
      <c r="A61" s="120" t="s">
        <v>76</v>
      </c>
      <c r="B61" s="124"/>
      <c r="C61" s="94"/>
      <c r="D61" s="121"/>
      <c r="E61" s="122"/>
      <c r="F61" s="123"/>
      <c r="G61" s="113">
        <f t="shared" si="59"/>
        <v>0</v>
      </c>
      <c r="H61" s="114">
        <f t="shared" si="60"/>
        <v>0</v>
      </c>
      <c r="I61" s="94"/>
      <c r="J61" s="121"/>
      <c r="K61" s="122"/>
      <c r="L61" s="123"/>
      <c r="M61" s="113">
        <f t="shared" si="61"/>
        <v>0</v>
      </c>
      <c r="N61" s="114">
        <f t="shared" si="62"/>
        <v>0</v>
      </c>
      <c r="O61" s="94"/>
      <c r="P61" s="121"/>
      <c r="Q61" s="122"/>
      <c r="R61" s="123"/>
      <c r="S61" s="113">
        <f t="shared" si="63"/>
        <v>0</v>
      </c>
      <c r="T61" s="114">
        <f t="shared" si="64"/>
        <v>0</v>
      </c>
      <c r="U61" s="94"/>
      <c r="V61" s="121"/>
      <c r="W61" s="122"/>
      <c r="X61" s="123"/>
      <c r="Y61" s="113"/>
      <c r="Z61" s="114"/>
      <c r="AA61" s="78"/>
      <c r="AB61" s="75"/>
      <c r="AC61" s="49">
        <f t="shared" ref="AC61:AD61" si="71">G61+M61+S61+Y61</f>
        <v>0</v>
      </c>
      <c r="AD61" s="49">
        <f t="shared" si="71"/>
        <v>0</v>
      </c>
    </row>
    <row r="62" spans="1:30" ht="12.75" hidden="1" customHeight="1" x14ac:dyDescent="0.2">
      <c r="A62" s="120" t="s">
        <v>77</v>
      </c>
      <c r="B62" s="124"/>
      <c r="C62" s="84"/>
      <c r="D62" s="121"/>
      <c r="E62" s="55"/>
      <c r="F62" s="123"/>
      <c r="G62" s="113">
        <f t="shared" si="59"/>
        <v>0</v>
      </c>
      <c r="H62" s="114">
        <f t="shared" si="60"/>
        <v>0</v>
      </c>
      <c r="I62" s="84"/>
      <c r="J62" s="55"/>
      <c r="K62" s="55"/>
      <c r="L62" s="114"/>
      <c r="M62" s="113">
        <f t="shared" si="61"/>
        <v>0</v>
      </c>
      <c r="N62" s="114">
        <f t="shared" si="62"/>
        <v>0</v>
      </c>
      <c r="O62" s="84"/>
      <c r="P62" s="55"/>
      <c r="Q62" s="55"/>
      <c r="R62" s="114"/>
      <c r="S62" s="113">
        <f t="shared" si="63"/>
        <v>0</v>
      </c>
      <c r="T62" s="114">
        <f t="shared" si="64"/>
        <v>0</v>
      </c>
      <c r="U62" s="84"/>
      <c r="V62" s="55"/>
      <c r="W62" s="55"/>
      <c r="X62" s="114"/>
      <c r="Y62" s="113"/>
      <c r="Z62" s="114"/>
      <c r="AA62" s="78"/>
      <c r="AB62" s="75"/>
      <c r="AC62" s="49">
        <f t="shared" ref="AC62:AD62" si="72">G62+M62+S62+Y62</f>
        <v>0</v>
      </c>
      <c r="AD62" s="49">
        <f t="shared" si="72"/>
        <v>0</v>
      </c>
    </row>
    <row r="63" spans="1:30" ht="12.75" customHeight="1" x14ac:dyDescent="0.2">
      <c r="A63" s="233" t="s">
        <v>78</v>
      </c>
      <c r="B63" s="234"/>
      <c r="C63" s="111"/>
      <c r="D63" s="111"/>
      <c r="E63" s="136"/>
      <c r="F63" s="112"/>
      <c r="G63" s="84"/>
      <c r="H63" s="56"/>
      <c r="I63" s="75"/>
      <c r="J63" s="75"/>
      <c r="K63" s="75"/>
      <c r="L63" s="99"/>
      <c r="M63" s="84"/>
      <c r="N63" s="56"/>
      <c r="O63" s="75"/>
      <c r="P63" s="75"/>
      <c r="Q63" s="75"/>
      <c r="R63" s="99"/>
      <c r="S63" s="84"/>
      <c r="T63" s="56"/>
      <c r="U63" s="75"/>
      <c r="V63" s="75"/>
      <c r="W63" s="75"/>
      <c r="X63" s="99"/>
      <c r="Y63" s="84"/>
      <c r="Z63" s="58"/>
      <c r="AA63" s="78"/>
      <c r="AB63" s="75"/>
      <c r="AC63" s="49">
        <f t="shared" ref="AC63:AD63" si="73">G63+M63+S63+Y63</f>
        <v>0</v>
      </c>
      <c r="AD63" s="49">
        <f t="shared" si="73"/>
        <v>0</v>
      </c>
    </row>
    <row r="64" spans="1:30" ht="12.75" customHeight="1" x14ac:dyDescent="0.2">
      <c r="A64" s="233" t="s">
        <v>79</v>
      </c>
      <c r="B64" s="234"/>
      <c r="C64" s="111"/>
      <c r="D64" s="111"/>
      <c r="E64" s="136"/>
      <c r="F64" s="112"/>
      <c r="G64" s="84"/>
      <c r="H64" s="56"/>
      <c r="I64" s="75"/>
      <c r="J64" s="75"/>
      <c r="K64" s="75"/>
      <c r="L64" s="99"/>
      <c r="M64" s="84"/>
      <c r="N64" s="56"/>
      <c r="O64" s="75"/>
      <c r="P64" s="75"/>
      <c r="Q64" s="75"/>
      <c r="R64" s="99"/>
      <c r="S64" s="84"/>
      <c r="T64" s="56"/>
      <c r="U64" s="75"/>
      <c r="V64" s="75"/>
      <c r="W64" s="75"/>
      <c r="X64" s="99"/>
      <c r="Y64" s="84"/>
      <c r="Z64" s="58"/>
      <c r="AA64" s="78"/>
      <c r="AB64" s="75"/>
      <c r="AC64" s="49">
        <f t="shared" ref="AC64:AD64" si="74">G64+M64+S64+Y64</f>
        <v>0</v>
      </c>
      <c r="AD64" s="49">
        <f t="shared" si="74"/>
        <v>0</v>
      </c>
    </row>
    <row r="65" spans="1:30" ht="12.75" customHeight="1" x14ac:dyDescent="0.2">
      <c r="A65" s="90" t="s">
        <v>80</v>
      </c>
      <c r="B65" s="137"/>
      <c r="C65" s="111"/>
      <c r="D65" s="111"/>
      <c r="E65" s="111"/>
      <c r="F65" s="112"/>
      <c r="G65" s="84">
        <v>211</v>
      </c>
      <c r="H65" s="56"/>
      <c r="I65" s="75"/>
      <c r="J65" s="75"/>
      <c r="K65" s="75"/>
      <c r="L65" s="99"/>
      <c r="M65" s="84"/>
      <c r="N65" s="56"/>
      <c r="O65" s="75"/>
      <c r="P65" s="75"/>
      <c r="Q65" s="75"/>
      <c r="R65" s="99"/>
      <c r="S65" s="84"/>
      <c r="T65" s="56"/>
      <c r="U65" s="75"/>
      <c r="V65" s="75"/>
      <c r="W65" s="75"/>
      <c r="X65" s="99"/>
      <c r="Y65" s="84"/>
      <c r="Z65" s="58"/>
      <c r="AA65" s="78"/>
      <c r="AB65" s="75"/>
      <c r="AC65" s="49">
        <f t="shared" ref="AC65:AD65" si="75">G65+M65+S65+Y65</f>
        <v>211</v>
      </c>
      <c r="AD65" s="49">
        <f t="shared" si="75"/>
        <v>0</v>
      </c>
    </row>
    <row r="66" spans="1:30" ht="12.75" customHeight="1" x14ac:dyDescent="0.2">
      <c r="A66" s="90" t="s">
        <v>81</v>
      </c>
      <c r="B66" s="137"/>
      <c r="C66" s="111"/>
      <c r="D66" s="111"/>
      <c r="E66" s="111"/>
      <c r="F66" s="112"/>
      <c r="G66" s="84"/>
      <c r="H66" s="56"/>
      <c r="I66" s="75"/>
      <c r="J66" s="75"/>
      <c r="K66" s="75"/>
      <c r="L66" s="99"/>
      <c r="M66" s="84"/>
      <c r="N66" s="56"/>
      <c r="O66" s="75"/>
      <c r="P66" s="75"/>
      <c r="Q66" s="75"/>
      <c r="R66" s="99"/>
      <c r="S66" s="84"/>
      <c r="T66" s="56"/>
      <c r="U66" s="75"/>
      <c r="V66" s="75"/>
      <c r="W66" s="75"/>
      <c r="X66" s="99"/>
      <c r="Y66" s="84"/>
      <c r="Z66" s="58"/>
      <c r="AA66" s="78"/>
      <c r="AB66" s="75"/>
      <c r="AC66" s="49">
        <f t="shared" ref="AC66:AD66" si="76">G66+M66+S66+Y66</f>
        <v>0</v>
      </c>
      <c r="AD66" s="49">
        <f t="shared" si="76"/>
        <v>0</v>
      </c>
    </row>
    <row r="67" spans="1:30" ht="12.75" customHeight="1" x14ac:dyDescent="0.2">
      <c r="A67" s="90" t="s">
        <v>82</v>
      </c>
      <c r="B67" s="138" t="s">
        <v>83</v>
      </c>
      <c r="C67" s="111"/>
      <c r="D67" s="111"/>
      <c r="E67" s="111"/>
      <c r="F67" s="112"/>
      <c r="G67" s="84">
        <v>2202</v>
      </c>
      <c r="H67" s="56"/>
      <c r="I67" s="75"/>
      <c r="J67" s="75"/>
      <c r="K67" s="75"/>
      <c r="L67" s="99"/>
      <c r="M67" s="84"/>
      <c r="N67" s="56"/>
      <c r="O67" s="75"/>
      <c r="P67" s="75"/>
      <c r="Q67" s="75"/>
      <c r="R67" s="99"/>
      <c r="S67" s="84"/>
      <c r="T67" s="56"/>
      <c r="U67" s="75"/>
      <c r="V67" s="75"/>
      <c r="W67" s="75"/>
      <c r="X67" s="99"/>
      <c r="Y67" s="84"/>
      <c r="Z67" s="58"/>
      <c r="AA67" s="78"/>
      <c r="AB67" s="75"/>
      <c r="AC67" s="49">
        <f t="shared" ref="AC67:AD67" si="77">G67+M67+S67+Y67</f>
        <v>2202</v>
      </c>
      <c r="AD67" s="49">
        <f t="shared" si="77"/>
        <v>0</v>
      </c>
    </row>
    <row r="68" spans="1:30" ht="12.75" customHeight="1" x14ac:dyDescent="0.2">
      <c r="A68" s="90" t="s">
        <v>84</v>
      </c>
      <c r="B68" s="138"/>
      <c r="C68" s="111"/>
      <c r="D68" s="111"/>
      <c r="E68" s="111"/>
      <c r="F68" s="112"/>
      <c r="G68" s="84"/>
      <c r="H68" s="56"/>
      <c r="I68" s="75"/>
      <c r="J68" s="75"/>
      <c r="K68" s="75"/>
      <c r="L68" s="99"/>
      <c r="M68" s="84"/>
      <c r="N68" s="56"/>
      <c r="O68" s="75"/>
      <c r="P68" s="75"/>
      <c r="Q68" s="75"/>
      <c r="R68" s="99"/>
      <c r="S68" s="84"/>
      <c r="T68" s="56"/>
      <c r="U68" s="75"/>
      <c r="V68" s="75"/>
      <c r="W68" s="75"/>
      <c r="X68" s="99"/>
      <c r="Y68" s="84"/>
      <c r="Z68" s="58"/>
      <c r="AA68" s="78"/>
      <c r="AB68" s="75"/>
      <c r="AC68" s="49">
        <f t="shared" ref="AC68:AD68" si="78">G68+M68+S68+Y68</f>
        <v>0</v>
      </c>
      <c r="AD68" s="49">
        <f t="shared" si="78"/>
        <v>0</v>
      </c>
    </row>
    <row r="69" spans="1:30" ht="12.75" customHeight="1" x14ac:dyDescent="0.2">
      <c r="A69" s="90" t="s">
        <v>85</v>
      </c>
      <c r="B69" s="138"/>
      <c r="C69" s="111"/>
      <c r="D69" s="111"/>
      <c r="E69" s="111"/>
      <c r="F69" s="112"/>
      <c r="G69" s="84"/>
      <c r="H69" s="56"/>
      <c r="I69" s="75"/>
      <c r="J69" s="75"/>
      <c r="K69" s="75"/>
      <c r="L69" s="99"/>
      <c r="M69" s="84"/>
      <c r="N69" s="56"/>
      <c r="O69" s="75"/>
      <c r="P69" s="75"/>
      <c r="Q69" s="75"/>
      <c r="R69" s="99"/>
      <c r="S69" s="84"/>
      <c r="T69" s="56"/>
      <c r="U69" s="75"/>
      <c r="V69" s="75"/>
      <c r="W69" s="75"/>
      <c r="X69" s="99"/>
      <c r="Y69" s="84"/>
      <c r="Z69" s="58"/>
      <c r="AA69" s="78"/>
      <c r="AB69" s="75"/>
      <c r="AC69" s="49">
        <f t="shared" ref="AC69:AD69" si="79">G69+M69+S69+Y69</f>
        <v>0</v>
      </c>
      <c r="AD69" s="49">
        <f t="shared" si="79"/>
        <v>0</v>
      </c>
    </row>
    <row r="70" spans="1:30" ht="12.75" customHeight="1" x14ac:dyDescent="0.2">
      <c r="A70" s="230" t="s">
        <v>86</v>
      </c>
      <c r="B70" s="231"/>
      <c r="C70" s="97"/>
      <c r="D70" s="97"/>
      <c r="E70" s="97"/>
      <c r="F70" s="98"/>
      <c r="G70" s="139">
        <f t="shared" ref="G70:H70" si="80">SUM(G51:G54)+G55+SUM(G63:G69)</f>
        <v>12328</v>
      </c>
      <c r="H70" s="139">
        <f t="shared" si="80"/>
        <v>0</v>
      </c>
      <c r="I70" s="75"/>
      <c r="J70" s="75"/>
      <c r="K70" s="75"/>
      <c r="L70" s="99"/>
      <c r="M70" s="139">
        <f t="shared" ref="M70:N70" si="81">SUM(M51:M55)+SUM(M63:M69)</f>
        <v>0</v>
      </c>
      <c r="N70" s="140">
        <f t="shared" si="81"/>
        <v>0</v>
      </c>
      <c r="O70" s="75"/>
      <c r="P70" s="75"/>
      <c r="Q70" s="75"/>
      <c r="R70" s="99"/>
      <c r="S70" s="139">
        <f t="shared" ref="S70:T70" si="82">SUM(S51:S55)+SUM(S63:S69)</f>
        <v>0</v>
      </c>
      <c r="T70" s="140">
        <f t="shared" si="82"/>
        <v>0</v>
      </c>
      <c r="U70" s="75"/>
      <c r="V70" s="75"/>
      <c r="W70" s="75"/>
      <c r="X70" s="99"/>
      <c r="Y70" s="68">
        <f t="shared" ref="Y70:Z70" si="83">SUM(Y51:Y55)+SUM(Y63:Y69)</f>
        <v>0</v>
      </c>
      <c r="Z70" s="67">
        <f t="shared" si="83"/>
        <v>0</v>
      </c>
      <c r="AA70" s="78"/>
      <c r="AB70" s="75"/>
      <c r="AC70" s="141">
        <f t="shared" ref="AC70:AD70" si="84">G70+M70+S70+Y70</f>
        <v>12328</v>
      </c>
      <c r="AD70" s="141">
        <f t="shared" si="84"/>
        <v>0</v>
      </c>
    </row>
    <row r="71" spans="1:30" ht="12.75" customHeight="1" x14ac:dyDescent="0.2">
      <c r="A71" s="240" t="s">
        <v>87</v>
      </c>
      <c r="B71" s="241"/>
      <c r="C71" s="142"/>
      <c r="D71" s="142"/>
      <c r="E71" s="100"/>
      <c r="F71" s="143"/>
      <c r="G71" s="68">
        <f t="shared" ref="G71:H71" si="85">G33+G38+G42+G49+G70</f>
        <v>59577</v>
      </c>
      <c r="H71" s="67">
        <f t="shared" si="85"/>
        <v>7913</v>
      </c>
      <c r="I71" s="75"/>
      <c r="J71" s="75"/>
      <c r="K71" s="75"/>
      <c r="L71" s="99"/>
      <c r="M71" s="68">
        <f t="shared" ref="M71:N71" si="86">M33+M38+M42+M49+M70</f>
        <v>0</v>
      </c>
      <c r="N71" s="67">
        <f t="shared" si="86"/>
        <v>0</v>
      </c>
      <c r="O71" s="75"/>
      <c r="P71" s="75"/>
      <c r="Q71" s="75"/>
      <c r="R71" s="99"/>
      <c r="S71" s="68">
        <f t="shared" ref="S71:T71" si="87">S33+S38+S42+S49+S70</f>
        <v>0</v>
      </c>
      <c r="T71" s="67">
        <f t="shared" si="87"/>
        <v>0</v>
      </c>
      <c r="U71" s="75"/>
      <c r="V71" s="75"/>
      <c r="W71" s="75"/>
      <c r="X71" s="99"/>
      <c r="Y71" s="144">
        <f t="shared" ref="Y71:Z71" si="88">Y33+Y38+Y42+Y49+Y70</f>
        <v>0</v>
      </c>
      <c r="Z71" s="145">
        <f t="shared" si="88"/>
        <v>0</v>
      </c>
      <c r="AA71" s="78"/>
      <c r="AB71" s="75"/>
      <c r="AC71" s="144">
        <f t="shared" ref="AC71:AD71" si="89">AC33+AC38+AC42+AC49+AC70</f>
        <v>59577</v>
      </c>
      <c r="AD71" s="145">
        <f t="shared" si="89"/>
        <v>7913</v>
      </c>
    </row>
    <row r="72" spans="1:30" ht="12.75" customHeight="1" x14ac:dyDescent="0.2">
      <c r="A72" s="242" t="s">
        <v>88</v>
      </c>
      <c r="B72" s="243"/>
      <c r="C72" s="146"/>
      <c r="D72" s="146"/>
      <c r="E72" s="146"/>
      <c r="F72" s="83"/>
      <c r="G72" s="134">
        <f>G33+G42+SUM(G51:G54)+SUM(D57:D62)+G63+G64+SUM(G67:G69)</f>
        <v>59366</v>
      </c>
      <c r="H72" s="135">
        <f>H33+H42+SUM(H51:H54)+H63+H64+SUM(H67:H69)</f>
        <v>7913</v>
      </c>
      <c r="I72" s="75"/>
      <c r="J72" s="75"/>
      <c r="K72" s="75"/>
      <c r="L72" s="99"/>
      <c r="M72" s="147">
        <f>M33+M42+SUM(M51:M54)+SUM(J57:J62)+M63+M64+SUM(M67:M69)</f>
        <v>0</v>
      </c>
      <c r="N72" s="135">
        <f>N33+N42+SUM(N51:N54)+N63+N64+SUM(N67:N69)</f>
        <v>0</v>
      </c>
      <c r="O72" s="75"/>
      <c r="P72" s="75"/>
      <c r="Q72" s="75"/>
      <c r="R72" s="99"/>
      <c r="S72" s="147">
        <f>S33+S42+SUM(S51:S54)+SUM(P57:P62)+S63+S64+SUM(S67:S69)</f>
        <v>0</v>
      </c>
      <c r="T72" s="135">
        <f>T33+T42+SUM(T51:T54)+T63+T64+SUM(T67:T69)</f>
        <v>0</v>
      </c>
      <c r="U72" s="75"/>
      <c r="V72" s="75"/>
      <c r="W72" s="75"/>
      <c r="X72" s="99"/>
      <c r="Y72" s="147">
        <f>Y33+Y42+SUM(Y51:Y54)+SUM(V57:V62)+Y63+Y64+SUM(Y67:Y69)</f>
        <v>0</v>
      </c>
      <c r="Z72" s="148">
        <f>Z33+Z42+SUM(Z51:Z54)+Z63+Z64+SUM(Z67:Z69)</f>
        <v>0</v>
      </c>
      <c r="AA72" s="78"/>
      <c r="AB72" s="75"/>
      <c r="AC72" s="149">
        <f t="shared" ref="AC72:AD72" si="90">G72+M72+S72+Y72</f>
        <v>59366</v>
      </c>
      <c r="AD72" s="149">
        <f t="shared" si="90"/>
        <v>7913</v>
      </c>
    </row>
    <row r="73" spans="1:30" ht="12.75" customHeight="1" x14ac:dyDescent="0.2">
      <c r="A73" s="150" t="s">
        <v>89</v>
      </c>
      <c r="B73" s="150"/>
      <c r="C73" s="151" t="s">
        <v>90</v>
      </c>
      <c r="D73" s="152" t="s">
        <v>91</v>
      </c>
      <c r="E73" s="152" t="s">
        <v>92</v>
      </c>
      <c r="F73" s="153"/>
      <c r="G73" s="101"/>
      <c r="H73" s="102"/>
      <c r="I73" s="152" t="s">
        <v>90</v>
      </c>
      <c r="J73" s="152" t="s">
        <v>91</v>
      </c>
      <c r="K73" s="154" t="s">
        <v>92</v>
      </c>
      <c r="L73" s="99"/>
      <c r="M73" s="101"/>
      <c r="N73" s="102"/>
      <c r="O73" s="152" t="s">
        <v>90</v>
      </c>
      <c r="P73" s="152" t="s">
        <v>91</v>
      </c>
      <c r="Q73" s="154" t="s">
        <v>92</v>
      </c>
      <c r="R73" s="99"/>
      <c r="S73" s="101"/>
      <c r="T73" s="102"/>
      <c r="U73" s="152" t="s">
        <v>90</v>
      </c>
      <c r="V73" s="152" t="s">
        <v>91</v>
      </c>
      <c r="W73" s="154" t="s">
        <v>92</v>
      </c>
      <c r="X73" s="99"/>
      <c r="Y73" s="101"/>
      <c r="Z73" s="105"/>
      <c r="AA73" s="78"/>
      <c r="AB73" s="75"/>
      <c r="AC73" s="106"/>
      <c r="AD73" s="106"/>
    </row>
    <row r="74" spans="1:30" ht="12.75" customHeight="1" x14ac:dyDescent="0.2">
      <c r="A74" s="80" t="s">
        <v>93</v>
      </c>
      <c r="B74" s="155"/>
      <c r="C74" s="156"/>
      <c r="D74" s="52"/>
      <c r="E74" s="157">
        <f>(G72*D74/100)-G74</f>
        <v>0</v>
      </c>
      <c r="F74" s="158"/>
      <c r="G74" s="113">
        <f t="shared" ref="G74:H74" si="91">(G72*C74/100)</f>
        <v>0</v>
      </c>
      <c r="H74" s="113">
        <f t="shared" si="91"/>
        <v>0</v>
      </c>
      <c r="I74" s="156"/>
      <c r="J74" s="52"/>
      <c r="K74" s="159">
        <f>(M72*J74/100)-M74</f>
        <v>0</v>
      </c>
      <c r="L74" s="160"/>
      <c r="M74" s="113">
        <f t="shared" ref="M74:N74" si="92">(M72*I74/100)</f>
        <v>0</v>
      </c>
      <c r="N74" s="114">
        <f t="shared" si="92"/>
        <v>0</v>
      </c>
      <c r="O74" s="156"/>
      <c r="P74" s="52"/>
      <c r="Q74" s="159">
        <f>(S72*P74/100)-S74</f>
        <v>0</v>
      </c>
      <c r="R74" s="99"/>
      <c r="S74" s="113">
        <f t="shared" ref="S74:T74" si="93">(S72*O74/100)</f>
        <v>0</v>
      </c>
      <c r="T74" s="114">
        <f t="shared" si="93"/>
        <v>0</v>
      </c>
      <c r="U74" s="156"/>
      <c r="V74" s="52"/>
      <c r="W74" s="159">
        <f>(Y72*V74/100)-Y74</f>
        <v>0</v>
      </c>
      <c r="X74" s="99"/>
      <c r="Y74" s="113">
        <f t="shared" ref="Y74:Z74" si="94">(Y72*U74/100)</f>
        <v>0</v>
      </c>
      <c r="Z74" s="114">
        <f t="shared" si="94"/>
        <v>0</v>
      </c>
      <c r="AA74" s="78"/>
      <c r="AB74" s="75"/>
      <c r="AC74" s="49">
        <f t="shared" ref="AC74:AD74" si="95">G74+M74+S74+Y74</f>
        <v>0</v>
      </c>
      <c r="AD74" s="49">
        <f t="shared" si="95"/>
        <v>0</v>
      </c>
    </row>
    <row r="75" spans="1:30" ht="12.75" customHeight="1" x14ac:dyDescent="0.2">
      <c r="A75" s="80" t="s">
        <v>94</v>
      </c>
      <c r="B75" s="161"/>
      <c r="C75" s="162"/>
      <c r="D75" s="163"/>
      <c r="E75" s="157">
        <f>(G72*D75/100)-G75</f>
        <v>0</v>
      </c>
      <c r="F75" s="158"/>
      <c r="G75" s="113">
        <f t="shared" ref="G75:H75" si="96">(G72*C75/100)</f>
        <v>0</v>
      </c>
      <c r="H75" s="113">
        <f t="shared" si="96"/>
        <v>0</v>
      </c>
      <c r="I75" s="162"/>
      <c r="J75" s="163"/>
      <c r="K75" s="157">
        <f>(M72*J75/100)-M75</f>
        <v>0</v>
      </c>
      <c r="L75" s="160"/>
      <c r="M75" s="113">
        <f t="shared" ref="M75:N75" si="97">(M72*I75/100)</f>
        <v>0</v>
      </c>
      <c r="N75" s="114">
        <f t="shared" si="97"/>
        <v>0</v>
      </c>
      <c r="O75" s="162"/>
      <c r="P75" s="163"/>
      <c r="Q75" s="157">
        <f>(S72*P75/100)-S75</f>
        <v>0</v>
      </c>
      <c r="R75" s="99"/>
      <c r="S75" s="113">
        <f t="shared" ref="S75:T75" si="98">(S72*O75/100)</f>
        <v>0</v>
      </c>
      <c r="T75" s="114">
        <f t="shared" si="98"/>
        <v>0</v>
      </c>
      <c r="U75" s="162"/>
      <c r="V75" s="163"/>
      <c r="W75" s="157">
        <f>(Y72*V75/100)-Y75</f>
        <v>0</v>
      </c>
      <c r="X75" s="99"/>
      <c r="Y75" s="113">
        <f t="shared" ref="Y75:Z75" si="99">(Y72*U75/100)</f>
        <v>0</v>
      </c>
      <c r="Z75" s="164">
        <f t="shared" si="99"/>
        <v>0</v>
      </c>
      <c r="AA75" s="78"/>
      <c r="AB75" s="75"/>
      <c r="AC75" s="49">
        <f t="shared" ref="AC75:AD75" si="100">G75+M75+S75+Y75</f>
        <v>0</v>
      </c>
      <c r="AD75" s="49">
        <f t="shared" si="100"/>
        <v>0</v>
      </c>
    </row>
    <row r="76" spans="1:30" ht="12.75" customHeight="1" x14ac:dyDescent="0.2">
      <c r="A76" s="165" t="s">
        <v>95</v>
      </c>
      <c r="B76" s="166"/>
      <c r="C76" s="167"/>
      <c r="D76" s="168"/>
      <c r="E76" s="169">
        <f>(G72*D76/100)-G76</f>
        <v>0</v>
      </c>
      <c r="F76" s="170"/>
      <c r="G76" s="171">
        <f t="shared" ref="G76:H76" si="101">(G72*C76/100)</f>
        <v>0</v>
      </c>
      <c r="H76" s="171">
        <f t="shared" si="101"/>
        <v>0</v>
      </c>
      <c r="I76" s="156"/>
      <c r="J76" s="52"/>
      <c r="K76" s="157">
        <f>(M72*J76/100)-M76</f>
        <v>0</v>
      </c>
      <c r="L76" s="160"/>
      <c r="M76" s="171">
        <f t="shared" ref="M76:N76" si="102">(M72*I76/100)</f>
        <v>0</v>
      </c>
      <c r="N76" s="140">
        <f t="shared" si="102"/>
        <v>0</v>
      </c>
      <c r="O76" s="156"/>
      <c r="P76" s="52"/>
      <c r="Q76" s="157">
        <f>(S72*P76/100)-S76</f>
        <v>0</v>
      </c>
      <c r="R76" s="99"/>
      <c r="S76" s="171">
        <f t="shared" ref="S76:T76" si="103">(S72*O76/100)</f>
        <v>0</v>
      </c>
      <c r="T76" s="140">
        <f t="shared" si="103"/>
        <v>0</v>
      </c>
      <c r="U76" s="156"/>
      <c r="V76" s="52"/>
      <c r="W76" s="157">
        <f>(Y72*V76/100)-Y76</f>
        <v>0</v>
      </c>
      <c r="X76" s="99"/>
      <c r="Y76" s="171">
        <f t="shared" ref="Y76:Z76" si="104">(Y72*U76/100)</f>
        <v>0</v>
      </c>
      <c r="Z76" s="172">
        <f t="shared" si="104"/>
        <v>0</v>
      </c>
      <c r="AA76" s="78"/>
      <c r="AB76" s="75"/>
      <c r="AC76" s="141">
        <f t="shared" ref="AC76:AD76" si="105">G76+M76+S76+Y76</f>
        <v>0</v>
      </c>
      <c r="AD76" s="141">
        <f t="shared" si="105"/>
        <v>0</v>
      </c>
    </row>
    <row r="77" spans="1:30" ht="12.75" customHeight="1" x14ac:dyDescent="0.2">
      <c r="A77" s="244" t="s">
        <v>96</v>
      </c>
      <c r="B77" s="245"/>
      <c r="C77" s="173"/>
      <c r="D77" s="173"/>
      <c r="E77" s="173"/>
      <c r="F77" s="174"/>
      <c r="G77" s="175">
        <f t="shared" ref="G77:H77" si="106">SUM(G74:G76)</f>
        <v>0</v>
      </c>
      <c r="H77" s="145">
        <f t="shared" si="106"/>
        <v>0</v>
      </c>
      <c r="I77" s="75"/>
      <c r="J77" s="75"/>
      <c r="K77" s="75"/>
      <c r="L77" s="99"/>
      <c r="M77" s="175">
        <f t="shared" ref="M77:N77" si="107">SUM(M74:M76)</f>
        <v>0</v>
      </c>
      <c r="N77" s="145">
        <f t="shared" si="107"/>
        <v>0</v>
      </c>
      <c r="O77" s="75"/>
      <c r="P77" s="75"/>
      <c r="Q77" s="75"/>
      <c r="R77" s="99"/>
      <c r="S77" s="175">
        <f t="shared" ref="S77:T77" si="108">SUM(S74:S76)</f>
        <v>0</v>
      </c>
      <c r="T77" s="145">
        <f t="shared" si="108"/>
        <v>0</v>
      </c>
      <c r="U77" s="75"/>
      <c r="V77" s="75"/>
      <c r="W77" s="75"/>
      <c r="X77" s="99"/>
      <c r="Y77" s="175">
        <f t="shared" ref="Y77:Z77" si="109">SUM(Y74:Y76)</f>
        <v>0</v>
      </c>
      <c r="Z77" s="145">
        <f t="shared" si="109"/>
        <v>0</v>
      </c>
      <c r="AA77" s="78"/>
      <c r="AB77" s="75"/>
      <c r="AC77" s="176">
        <f t="shared" ref="AC77:AD77" si="110">G77+M77+S77+Y77</f>
        <v>0</v>
      </c>
      <c r="AD77" s="176">
        <f t="shared" si="110"/>
        <v>0</v>
      </c>
    </row>
    <row r="78" spans="1:30" ht="12.75" customHeight="1" x14ac:dyDescent="0.2">
      <c r="A78" s="240" t="s">
        <v>97</v>
      </c>
      <c r="B78" s="241"/>
      <c r="C78" s="142"/>
      <c r="D78" s="142"/>
      <c r="E78" s="142"/>
      <c r="F78" s="143"/>
      <c r="G78" s="175">
        <f>G71+G77</f>
        <v>59577</v>
      </c>
      <c r="H78" s="145">
        <f>H71+H77+SUM(E74:E76)</f>
        <v>7913</v>
      </c>
      <c r="I78" s="75"/>
      <c r="J78" s="75"/>
      <c r="K78" s="75"/>
      <c r="L78" s="99"/>
      <c r="M78" s="175">
        <f>M71+M77</f>
        <v>0</v>
      </c>
      <c r="N78" s="145">
        <f>N71+N77+SUM(K74:K76)</f>
        <v>0</v>
      </c>
      <c r="O78" s="75"/>
      <c r="P78" s="75"/>
      <c r="Q78" s="75"/>
      <c r="R78" s="99"/>
      <c r="S78" s="175">
        <f>S71+S77</f>
        <v>0</v>
      </c>
      <c r="T78" s="145">
        <f>T71+T77+SUM(Q74:Q76)</f>
        <v>0</v>
      </c>
      <c r="U78" s="75"/>
      <c r="V78" s="75"/>
      <c r="W78" s="75"/>
      <c r="X78" s="99"/>
      <c r="Y78" s="175">
        <f>Y71+Y77</f>
        <v>0</v>
      </c>
      <c r="Z78" s="145">
        <f>Z71+Z77+SUM(W74:W76)</f>
        <v>0</v>
      </c>
      <c r="AA78" s="78"/>
      <c r="AB78" s="75"/>
      <c r="AC78" s="177">
        <f t="shared" ref="AC78:AD78" si="111">G78+M78+S78+Y78</f>
        <v>59577</v>
      </c>
      <c r="AD78" s="177">
        <f t="shared" si="111"/>
        <v>7913</v>
      </c>
    </row>
    <row r="79" spans="1:30" ht="12.75" customHeight="1" x14ac:dyDescent="0.2">
      <c r="A79" s="240" t="s">
        <v>98</v>
      </c>
      <c r="B79" s="241"/>
      <c r="C79" s="178"/>
      <c r="D79" s="178"/>
      <c r="E79" s="178"/>
      <c r="F79" s="178"/>
      <c r="G79" s="179"/>
      <c r="H79" s="180"/>
      <c r="I79" s="1"/>
      <c r="J79" s="1"/>
      <c r="K79" s="1"/>
      <c r="L79" s="1"/>
      <c r="M79" s="181"/>
      <c r="N79" s="182"/>
      <c r="O79" s="1"/>
      <c r="P79" s="1"/>
      <c r="Q79" s="1"/>
      <c r="R79" s="1"/>
      <c r="S79" s="181"/>
      <c r="T79" s="182"/>
      <c r="U79" s="1"/>
      <c r="V79" s="1"/>
      <c r="W79" s="1"/>
      <c r="X79" s="1"/>
      <c r="Y79" s="183"/>
      <c r="Z79" s="184"/>
      <c r="AA79" s="1"/>
      <c r="AB79" s="1"/>
      <c r="AC79" s="177">
        <f t="shared" ref="AC79:AD79" si="112">G79+M79+S79+Y79</f>
        <v>0</v>
      </c>
      <c r="AD79" s="177">
        <f t="shared" si="112"/>
        <v>0</v>
      </c>
    </row>
    <row r="80" spans="1:30" ht="12.75" customHeight="1" x14ac:dyDescent="0.2">
      <c r="A80" s="240" t="s">
        <v>99</v>
      </c>
      <c r="B80" s="241"/>
      <c r="C80" s="178"/>
      <c r="D80" s="178"/>
      <c r="E80" s="178"/>
      <c r="F80" s="178"/>
      <c r="G80" s="68">
        <f t="shared" ref="G80:H80" si="113">G78+G79</f>
        <v>59577</v>
      </c>
      <c r="H80" s="67">
        <f t="shared" si="113"/>
        <v>7913</v>
      </c>
      <c r="I80" s="1"/>
      <c r="J80" s="1"/>
      <c r="K80" s="1"/>
      <c r="L80" s="1"/>
      <c r="M80" s="68">
        <f t="shared" ref="M80:N80" si="114">M78+M79</f>
        <v>0</v>
      </c>
      <c r="N80" s="67">
        <f t="shared" si="114"/>
        <v>0</v>
      </c>
      <c r="O80" s="1"/>
      <c r="P80" s="1"/>
      <c r="Q80" s="1"/>
      <c r="R80" s="1"/>
      <c r="S80" s="68">
        <f t="shared" ref="S80:T80" si="115">S78+S79</f>
        <v>0</v>
      </c>
      <c r="T80" s="67">
        <f t="shared" si="115"/>
        <v>0</v>
      </c>
      <c r="U80" s="1"/>
      <c r="V80" s="1"/>
      <c r="W80" s="1"/>
      <c r="X80" s="1"/>
      <c r="Y80" s="175">
        <f t="shared" ref="Y80:Z80" si="116">Y78+Y79</f>
        <v>0</v>
      </c>
      <c r="Z80" s="145">
        <f t="shared" si="116"/>
        <v>0</v>
      </c>
      <c r="AA80" s="1"/>
      <c r="AB80" s="1"/>
      <c r="AC80" s="177">
        <f t="shared" ref="AC80:AD80" si="117">G80+M80+S80+Y80</f>
        <v>59577</v>
      </c>
      <c r="AD80" s="177">
        <f t="shared" si="117"/>
        <v>7913</v>
      </c>
    </row>
    <row r="81" spans="1:30"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row>
    <row r="82" spans="1:30"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row>
    <row r="83" spans="1:30"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row>
    <row r="84" spans="1:30"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row>
    <row r="85" spans="1:30"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row>
    <row r="86" spans="1:30"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row>
    <row r="87" spans="1:30"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row>
    <row r="88" spans="1:30"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row>
    <row r="89" spans="1:30"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row>
    <row r="90" spans="1:30"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row>
    <row r="91" spans="1:30"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row>
    <row r="92" spans="1:30"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row>
    <row r="93" spans="1:30"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row>
    <row r="94" spans="1:30"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row>
    <row r="95" spans="1:30"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row>
    <row r="96" spans="1:30"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row>
    <row r="97" spans="1:30"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row>
    <row r="98" spans="1:30"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row>
    <row r="99" spans="1:30"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row>
    <row r="100" spans="1:30"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row>
    <row r="101" spans="1:30"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row>
    <row r="102" spans="1:30"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row>
    <row r="103" spans="1:30"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row>
    <row r="104" spans="1:30"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row>
    <row r="105" spans="1:30"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row>
    <row r="106" spans="1:30"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row>
    <row r="107" spans="1:30"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row>
    <row r="108" spans="1:30"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row>
    <row r="109" spans="1:30"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row>
    <row r="110" spans="1:30"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row>
    <row r="111" spans="1:30"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row>
    <row r="112" spans="1:30"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row>
    <row r="113" spans="1:30"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row>
    <row r="114" spans="1:30"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row>
    <row r="115" spans="1:30"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row>
    <row r="116" spans="1:30"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row>
    <row r="117" spans="1:30"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row>
    <row r="118" spans="1:30"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row>
    <row r="119" spans="1:30"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row>
    <row r="120" spans="1:30"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row>
    <row r="121" spans="1:30"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row>
    <row r="122" spans="1:30"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row>
    <row r="123" spans="1:30"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row>
    <row r="124" spans="1:30"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row>
    <row r="125" spans="1:30"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row>
    <row r="126" spans="1:30"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row>
    <row r="127" spans="1:30"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row>
    <row r="128" spans="1:30"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row>
    <row r="129" spans="1:30"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row>
    <row r="130" spans="1:30"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row>
    <row r="131" spans="1:30"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row>
    <row r="132" spans="1:30"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row>
    <row r="133" spans="1:30"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row>
    <row r="134" spans="1:30"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row>
    <row r="135" spans="1:30"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row>
    <row r="136" spans="1:30"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row>
    <row r="137" spans="1:30"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row>
    <row r="138" spans="1:30"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row>
    <row r="139" spans="1:30"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row>
    <row r="140" spans="1:30"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row>
    <row r="141" spans="1:30"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row>
    <row r="142" spans="1:30"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row>
    <row r="143" spans="1:30"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row>
    <row r="144" spans="1:30"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row>
    <row r="145" spans="1:30"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row>
    <row r="146" spans="1:30"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row>
    <row r="147" spans="1:30"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row>
    <row r="148" spans="1:30"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row>
    <row r="149" spans="1:30"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row>
    <row r="150" spans="1:30"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row>
    <row r="151" spans="1:30"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row>
    <row r="152" spans="1:30"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row>
    <row r="153" spans="1:30"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row>
    <row r="154" spans="1:30"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row>
    <row r="155" spans="1:30"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row>
    <row r="156" spans="1:30"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row>
    <row r="157" spans="1:30"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row>
    <row r="158" spans="1:30"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row>
    <row r="159" spans="1:30"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row>
    <row r="160" spans="1:30"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row>
    <row r="161" spans="1:30"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row>
    <row r="162" spans="1:30"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row>
    <row r="163" spans="1:30"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row>
    <row r="164" spans="1:30"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row>
    <row r="165" spans="1:30"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row>
    <row r="166" spans="1:30"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row>
    <row r="167" spans="1:30"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row>
    <row r="168" spans="1:30"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row>
    <row r="169" spans="1:30"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row>
    <row r="170" spans="1:30"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row>
    <row r="171" spans="1:30"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row>
    <row r="172" spans="1:30"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row>
    <row r="173" spans="1:30"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row>
    <row r="174" spans="1:30"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row>
    <row r="175" spans="1:30"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row>
    <row r="176" spans="1:30"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row>
    <row r="177" spans="1:30"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row>
    <row r="178" spans="1:30"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row>
    <row r="179" spans="1:30"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row>
    <row r="180" spans="1:30"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row>
    <row r="181" spans="1:30"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row>
    <row r="182" spans="1:30"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row>
    <row r="183" spans="1:30"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row>
    <row r="184" spans="1:30"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row>
    <row r="185" spans="1:30"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row>
    <row r="186" spans="1:30"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row>
    <row r="187" spans="1:30"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row>
    <row r="188" spans="1:30"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row>
    <row r="189" spans="1:30"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row>
    <row r="190" spans="1:30"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row>
    <row r="191" spans="1:30"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row>
    <row r="192" spans="1:30"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row>
    <row r="193" spans="1:30"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row>
    <row r="194" spans="1:30"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row>
    <row r="195" spans="1:30"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row>
    <row r="196" spans="1:30"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row>
    <row r="197" spans="1:30"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row>
    <row r="198" spans="1:30"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row>
    <row r="199" spans="1:30"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row>
    <row r="200" spans="1:30"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row>
    <row r="201" spans="1:30"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row>
    <row r="202" spans="1:30"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row>
    <row r="203" spans="1:30"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row>
    <row r="204" spans="1:30"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row>
    <row r="205" spans="1:30"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row>
    <row r="206" spans="1:30"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row>
    <row r="207" spans="1:30"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row>
    <row r="208" spans="1:30"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row>
    <row r="209" spans="1:30"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row>
    <row r="210" spans="1:30"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row>
    <row r="211" spans="1:30"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row>
    <row r="212" spans="1:30"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row>
    <row r="213" spans="1:30"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row>
    <row r="214" spans="1:30"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row>
    <row r="215" spans="1:30"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row>
    <row r="216" spans="1:30"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row>
    <row r="217" spans="1:30"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row>
    <row r="218" spans="1:30"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row>
    <row r="219" spans="1:30"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row>
    <row r="220" spans="1:30"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row>
    <row r="221" spans="1:30"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row>
    <row r="222" spans="1:30"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row>
    <row r="223" spans="1:30"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row>
    <row r="224" spans="1:30"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row>
    <row r="225" spans="1:30"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row>
    <row r="226" spans="1:30"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row>
    <row r="227" spans="1:30"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row>
    <row r="228" spans="1:30"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row>
    <row r="229" spans="1:30"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row>
    <row r="230" spans="1:30"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row>
    <row r="231" spans="1:30"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row>
    <row r="232" spans="1:30"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row>
    <row r="233" spans="1:30"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row>
    <row r="234" spans="1:30"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row>
    <row r="235" spans="1:30"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row>
    <row r="236" spans="1:30"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row>
    <row r="237" spans="1:30"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row>
    <row r="238" spans="1:30"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row>
    <row r="239" spans="1:30"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row>
    <row r="240" spans="1:30"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row>
    <row r="241" spans="1:30"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row>
    <row r="242" spans="1:30"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row>
    <row r="243" spans="1:30"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row>
    <row r="244" spans="1:30"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row>
    <row r="245" spans="1:30"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row>
    <row r="246" spans="1:30"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row>
    <row r="247" spans="1:30"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row>
    <row r="248" spans="1:30"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row>
    <row r="249" spans="1:30"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row>
    <row r="250" spans="1:30"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row>
    <row r="251" spans="1:30"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row>
    <row r="252" spans="1:30"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row>
    <row r="253" spans="1:30"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row>
    <row r="254" spans="1:30"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row>
    <row r="255" spans="1:30"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row>
    <row r="256" spans="1:30"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row>
    <row r="257" spans="1:30"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row>
    <row r="258" spans="1:30"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row>
    <row r="259" spans="1:30"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row>
    <row r="260" spans="1:30"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row>
    <row r="261" spans="1:30"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row>
    <row r="262" spans="1:30"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row>
    <row r="263" spans="1:30"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row>
    <row r="264" spans="1:30"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row>
    <row r="265" spans="1:30"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row>
    <row r="266" spans="1:30"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row>
    <row r="267" spans="1:30"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row>
    <row r="268" spans="1:30"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row>
    <row r="269" spans="1:30"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row>
    <row r="270" spans="1:30"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row>
    <row r="271" spans="1:30"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row>
    <row r="272" spans="1:30"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row>
    <row r="273" spans="1:30"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row>
    <row r="274" spans="1:30"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row>
    <row r="275" spans="1:30"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row>
    <row r="276" spans="1:30"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row>
    <row r="277" spans="1:30"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row>
    <row r="278" spans="1:30"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row>
    <row r="279" spans="1:30"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row>
    <row r="280" spans="1:30"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row>
    <row r="281" spans="1:30"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row>
    <row r="282" spans="1:30"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row>
    <row r="283" spans="1:30"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row>
    <row r="284" spans="1:30"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row>
    <row r="285" spans="1:30"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row>
    <row r="286" spans="1:30"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row>
    <row r="287" spans="1:30"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row>
    <row r="288" spans="1:30"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row>
    <row r="289" spans="1:30"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row>
    <row r="290" spans="1:30"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row>
    <row r="291" spans="1:30"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row>
    <row r="292" spans="1:30"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row>
    <row r="293" spans="1:30"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row>
    <row r="294" spans="1:30"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row>
    <row r="295" spans="1:30"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row>
    <row r="296" spans="1:30"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row>
    <row r="297" spans="1:30"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row>
    <row r="298" spans="1:30"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row>
    <row r="299" spans="1:30"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row>
    <row r="300" spans="1:30"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row>
    <row r="301" spans="1:30"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row>
    <row r="302" spans="1:30"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row>
    <row r="303" spans="1:30"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row>
    <row r="304" spans="1:30"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row>
    <row r="305" spans="1:30"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row>
    <row r="306" spans="1:30"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row>
    <row r="307" spans="1:30"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row>
    <row r="308" spans="1:30"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row>
    <row r="309" spans="1:30"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row>
    <row r="310" spans="1:30"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row>
    <row r="311" spans="1:30"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row>
    <row r="312" spans="1:30"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row>
    <row r="313" spans="1:30"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row>
    <row r="314" spans="1:30"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row>
    <row r="315" spans="1:30"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row>
    <row r="316" spans="1:30"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row>
    <row r="317" spans="1:30"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row>
    <row r="318" spans="1:30"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row>
    <row r="319" spans="1:30"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row>
    <row r="320" spans="1:30"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row>
    <row r="321" spans="1:30"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row>
    <row r="322" spans="1:30"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row>
    <row r="323" spans="1:30"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row>
    <row r="324" spans="1:30"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row>
    <row r="325" spans="1:30"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row>
    <row r="326" spans="1:30"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row>
    <row r="327" spans="1:30"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row>
    <row r="328" spans="1:30"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row>
    <row r="329" spans="1:30"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row>
    <row r="330" spans="1:30"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row>
    <row r="331" spans="1:30"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row>
    <row r="332" spans="1:30"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row>
    <row r="333" spans="1:30"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row>
    <row r="334" spans="1:30"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row>
    <row r="335" spans="1:30"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row>
    <row r="336" spans="1:30"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row>
    <row r="337" spans="1:30"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row>
    <row r="338" spans="1:30"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row>
    <row r="339" spans="1:30"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row>
    <row r="340" spans="1:30"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row>
    <row r="341" spans="1:30"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row>
    <row r="342" spans="1:30"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row>
    <row r="343" spans="1:30"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row>
    <row r="344" spans="1:30"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row>
    <row r="345" spans="1:30"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row>
    <row r="346" spans="1:30"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row>
    <row r="347" spans="1:30"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row>
    <row r="348" spans="1:30"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row>
    <row r="349" spans="1:30"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row>
    <row r="350" spans="1:30"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row>
    <row r="351" spans="1:30"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row>
    <row r="352" spans="1:30"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row>
    <row r="353" spans="1:30"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row>
    <row r="354" spans="1:30"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row>
    <row r="355" spans="1:30"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row>
    <row r="356" spans="1:30"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row>
    <row r="357" spans="1:30"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row>
    <row r="358" spans="1:30"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row>
    <row r="359" spans="1:30"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row>
    <row r="360" spans="1:30"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row>
    <row r="361" spans="1:30"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row>
    <row r="362" spans="1:30"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row>
    <row r="363" spans="1:30"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row>
    <row r="364" spans="1:30"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row>
    <row r="365" spans="1:30"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row>
    <row r="366" spans="1:30"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row>
    <row r="367" spans="1:30"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row>
    <row r="368" spans="1:30"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row>
    <row r="369" spans="1:30"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row>
    <row r="370" spans="1:30"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row>
    <row r="371" spans="1:30"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row>
    <row r="372" spans="1:30"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row>
    <row r="373" spans="1:30"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row>
    <row r="374" spans="1:30"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row>
    <row r="375" spans="1:30"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row>
    <row r="376" spans="1:30"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row>
    <row r="377" spans="1:30"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row>
    <row r="378" spans="1:30"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row>
    <row r="379" spans="1:30"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row>
    <row r="380" spans="1:30"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row>
    <row r="381" spans="1:30"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row>
    <row r="382" spans="1:30"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row>
    <row r="383" spans="1:30"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row>
    <row r="384" spans="1:30"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row>
    <row r="385" spans="1:30"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row>
    <row r="386" spans="1:30"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row>
    <row r="387" spans="1:30"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row>
    <row r="388" spans="1:30"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row>
    <row r="389" spans="1:30"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row>
    <row r="390" spans="1:30"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row>
    <row r="391" spans="1:30"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row>
    <row r="392" spans="1:30"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row>
    <row r="393" spans="1:30"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row>
    <row r="394" spans="1:30"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row>
    <row r="395" spans="1:30"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row>
    <row r="396" spans="1:30"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row>
    <row r="397" spans="1:30"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row>
    <row r="398" spans="1:30"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row>
    <row r="399" spans="1:30"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row>
    <row r="400" spans="1:30"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row>
    <row r="401" spans="1:30"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row>
    <row r="402" spans="1:30"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row>
    <row r="403" spans="1:30"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row>
    <row r="404" spans="1:30"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row>
    <row r="405" spans="1:30"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row>
    <row r="406" spans="1:30"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row>
    <row r="407" spans="1:30"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row>
    <row r="408" spans="1:30"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row>
    <row r="409" spans="1:30"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row>
    <row r="410" spans="1:30"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row>
    <row r="411" spans="1:30"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row>
    <row r="412" spans="1:30"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row>
    <row r="413" spans="1:30"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row>
    <row r="414" spans="1:30"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row>
    <row r="415" spans="1:30"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row>
    <row r="416" spans="1:30"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row>
    <row r="417" spans="1:30"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row>
    <row r="418" spans="1:30"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row>
    <row r="419" spans="1:30"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row>
    <row r="420" spans="1:30"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row>
    <row r="421" spans="1:30"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row>
    <row r="422" spans="1:30"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row>
    <row r="423" spans="1:30"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row>
    <row r="424" spans="1:30"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row>
    <row r="425" spans="1:30"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row>
    <row r="426" spans="1:30"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row>
    <row r="427" spans="1:30"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row>
    <row r="428" spans="1:30"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row>
    <row r="429" spans="1:30"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row>
    <row r="430" spans="1:30"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row>
    <row r="431" spans="1:30"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row>
    <row r="432" spans="1:30"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row>
    <row r="433" spans="1:30"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row>
    <row r="434" spans="1:30"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row>
    <row r="435" spans="1:30"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row>
    <row r="436" spans="1:30"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row>
    <row r="437" spans="1:30"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row>
    <row r="438" spans="1:30"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row>
    <row r="439" spans="1:30"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row>
    <row r="440" spans="1:30"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row>
    <row r="441" spans="1:30"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row>
    <row r="442" spans="1:30"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row>
    <row r="443" spans="1:30"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row>
    <row r="444" spans="1:30"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row>
    <row r="445" spans="1:30"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row>
    <row r="446" spans="1:30"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row>
    <row r="447" spans="1:30"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row>
    <row r="448" spans="1:30"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row>
    <row r="449" spans="1:30"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row>
    <row r="450" spans="1:30"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row>
    <row r="451" spans="1:30"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row>
    <row r="452" spans="1:30"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row>
    <row r="453" spans="1:30"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row>
    <row r="454" spans="1:30"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row>
    <row r="455" spans="1:30"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row>
    <row r="456" spans="1:30"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row>
    <row r="457" spans="1:30"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row>
    <row r="458" spans="1:30"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row>
    <row r="459" spans="1:30"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row>
    <row r="460" spans="1:30"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row>
    <row r="461" spans="1:30"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row>
    <row r="462" spans="1:30"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row>
    <row r="463" spans="1:30"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row>
    <row r="464" spans="1:30"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row>
    <row r="465" spans="1:30"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row>
    <row r="466" spans="1:30"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row>
    <row r="467" spans="1:30"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row>
    <row r="468" spans="1:30"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row>
    <row r="469" spans="1:30"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row>
    <row r="470" spans="1:30"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row>
    <row r="471" spans="1:30"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row>
    <row r="472" spans="1:30"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row>
    <row r="473" spans="1:30"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row>
    <row r="474" spans="1:30"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row>
    <row r="475" spans="1:30"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row>
    <row r="476" spans="1:30"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row>
    <row r="477" spans="1:30"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row>
    <row r="478" spans="1:30"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row>
    <row r="479" spans="1:30"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row>
    <row r="480" spans="1:30"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row>
    <row r="481" spans="1:30"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row>
    <row r="482" spans="1:30"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row>
    <row r="483" spans="1:30"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row>
    <row r="484" spans="1:30"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row>
    <row r="485" spans="1:30"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row>
    <row r="486" spans="1:30"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row>
    <row r="487" spans="1:30"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row>
    <row r="488" spans="1:30"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row>
    <row r="489" spans="1:30"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row>
    <row r="490" spans="1:30"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row>
    <row r="491" spans="1:30"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row>
    <row r="492" spans="1:30"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row>
    <row r="493" spans="1:30"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row>
    <row r="494" spans="1:30"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row>
    <row r="495" spans="1:30"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row>
    <row r="496" spans="1:30"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row>
    <row r="497" spans="1:30"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row>
    <row r="498" spans="1:30"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row>
    <row r="499" spans="1:30"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row>
    <row r="500" spans="1:30"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row>
    <row r="501" spans="1:30"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row>
    <row r="502" spans="1:30"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row>
    <row r="503" spans="1:30"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row>
    <row r="504" spans="1:30"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row>
    <row r="505" spans="1:30"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row>
    <row r="506" spans="1:30"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row>
    <row r="507" spans="1:30"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row>
    <row r="508" spans="1:30"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row>
    <row r="509" spans="1:30"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row>
    <row r="510" spans="1:30"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row>
    <row r="511" spans="1:30"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row>
    <row r="512" spans="1:30"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row>
    <row r="513" spans="1:30"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row>
    <row r="514" spans="1:30"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row>
    <row r="515" spans="1:30"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row>
    <row r="516" spans="1:30"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row>
    <row r="517" spans="1:30"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row>
    <row r="518" spans="1:30"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row>
    <row r="519" spans="1:30"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row>
    <row r="520" spans="1:30"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row>
    <row r="521" spans="1:30"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row>
    <row r="522" spans="1:30"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row>
    <row r="523" spans="1:30"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row>
    <row r="524" spans="1:30"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row>
    <row r="525" spans="1:30"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row>
    <row r="526" spans="1:30"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row>
    <row r="527" spans="1:30"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row>
    <row r="528" spans="1:30"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row>
    <row r="529" spans="1:30"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row>
    <row r="530" spans="1:30"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row>
    <row r="531" spans="1:30"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row>
    <row r="532" spans="1:30"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row>
    <row r="533" spans="1:30"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row>
    <row r="534" spans="1:30"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row>
    <row r="535" spans="1:30"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row>
    <row r="536" spans="1:30"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row>
    <row r="537" spans="1:30"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row>
    <row r="538" spans="1:30"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row>
    <row r="539" spans="1:30"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row>
    <row r="540" spans="1:30"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row>
    <row r="541" spans="1:30"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row>
    <row r="542" spans="1:30"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row>
    <row r="543" spans="1:30"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row>
    <row r="544" spans="1:30"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row>
    <row r="545" spans="1:30"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row>
    <row r="546" spans="1:30"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row>
    <row r="547" spans="1:30"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row>
    <row r="548" spans="1:30"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row>
    <row r="549" spans="1:30"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row>
    <row r="550" spans="1:30"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row>
    <row r="551" spans="1:30"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row>
    <row r="552" spans="1:30"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row>
    <row r="553" spans="1:30"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row>
    <row r="554" spans="1:30"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row>
    <row r="555" spans="1:30"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row>
    <row r="556" spans="1:30"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row>
    <row r="557" spans="1:30"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row>
    <row r="558" spans="1:30"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row>
    <row r="559" spans="1:30"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row>
    <row r="560" spans="1:30"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row>
    <row r="561" spans="1:30"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row>
    <row r="562" spans="1:30"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row>
    <row r="563" spans="1:30"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row>
    <row r="564" spans="1:30"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row>
    <row r="565" spans="1:30"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row>
    <row r="566" spans="1:30"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row>
    <row r="567" spans="1:30"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row>
    <row r="568" spans="1:30"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row>
    <row r="569" spans="1:30"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row>
    <row r="570" spans="1:30"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row>
    <row r="571" spans="1:30"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row>
    <row r="572" spans="1:30"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row>
    <row r="573" spans="1:30"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row>
    <row r="574" spans="1:30"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row>
    <row r="575" spans="1:30"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row>
    <row r="576" spans="1:30"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row>
    <row r="577" spans="1:30"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row>
    <row r="578" spans="1:30"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row>
    <row r="579" spans="1:30"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row>
    <row r="580" spans="1:30"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row>
    <row r="581" spans="1:30"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row>
    <row r="582" spans="1:30"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row>
    <row r="583" spans="1:30"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row>
    <row r="584" spans="1:30"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row>
    <row r="585" spans="1:30"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row>
    <row r="586" spans="1:30"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row>
    <row r="587" spans="1:30"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row>
    <row r="588" spans="1:30"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row>
    <row r="589" spans="1:30"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row>
    <row r="590" spans="1:30"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row>
    <row r="591" spans="1:30"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row>
    <row r="592" spans="1:30"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row>
    <row r="593" spans="1:30"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row>
    <row r="594" spans="1:30"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row>
    <row r="595" spans="1:30"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row>
    <row r="596" spans="1:30"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row>
    <row r="597" spans="1:30"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row>
    <row r="598" spans="1:30"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row>
    <row r="599" spans="1:30"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row>
    <row r="600" spans="1:30"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row>
    <row r="601" spans="1:30"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row>
    <row r="602" spans="1:30"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row>
    <row r="603" spans="1:30"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row>
    <row r="604" spans="1:30"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row>
    <row r="605" spans="1:30"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row>
    <row r="606" spans="1:30"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row>
    <row r="607" spans="1:30"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row>
    <row r="608" spans="1:30"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row>
    <row r="609" spans="1:30"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row>
    <row r="610" spans="1:30"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row>
    <row r="611" spans="1:30"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row>
    <row r="612" spans="1:30"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row>
    <row r="613" spans="1:30"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row>
    <row r="614" spans="1:30"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row>
    <row r="615" spans="1:30"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row>
    <row r="616" spans="1:30"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row>
    <row r="617" spans="1:30"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row>
    <row r="618" spans="1:30"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row>
    <row r="619" spans="1:30"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row>
    <row r="620" spans="1:30"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row>
    <row r="621" spans="1:30"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row>
    <row r="622" spans="1:30"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row>
    <row r="623" spans="1:30"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row>
    <row r="624" spans="1:30"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row>
    <row r="625" spans="1:30"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row>
    <row r="626" spans="1:30"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row>
    <row r="627" spans="1:30"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row>
    <row r="628" spans="1:30"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row>
    <row r="629" spans="1:30"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row>
    <row r="630" spans="1:30"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row>
    <row r="631" spans="1:30"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row>
    <row r="632" spans="1:30"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row>
    <row r="633" spans="1:30"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row>
    <row r="634" spans="1:30"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row>
    <row r="635" spans="1:30"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row>
    <row r="636" spans="1:30"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row>
    <row r="637" spans="1:30"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row>
    <row r="638" spans="1:30"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row>
    <row r="639" spans="1:30"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row>
    <row r="640" spans="1:30"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row>
    <row r="641" spans="1:30"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row>
    <row r="642" spans="1:30"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row>
    <row r="643" spans="1:30"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row>
    <row r="644" spans="1:30"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row>
    <row r="645" spans="1:30"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row>
    <row r="646" spans="1:30"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row>
    <row r="647" spans="1:30"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row>
    <row r="648" spans="1:30"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row>
    <row r="649" spans="1:30"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row>
    <row r="650" spans="1:30"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row>
    <row r="651" spans="1:30"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row>
    <row r="652" spans="1:30"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row>
    <row r="653" spans="1:30"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row>
    <row r="654" spans="1:30"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row>
    <row r="655" spans="1:30"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row>
    <row r="656" spans="1:30"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row>
    <row r="657" spans="1:30"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row>
    <row r="658" spans="1:30"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row>
    <row r="659" spans="1:30"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row>
    <row r="660" spans="1:30"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row>
    <row r="661" spans="1:30"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row>
    <row r="662" spans="1:30"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row>
    <row r="663" spans="1:30"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row>
    <row r="664" spans="1:30"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row>
    <row r="665" spans="1:30"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row>
    <row r="666" spans="1:30"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row>
    <row r="667" spans="1:30"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row>
    <row r="668" spans="1:30"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row>
    <row r="669" spans="1:30"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row>
    <row r="670" spans="1:30"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row>
    <row r="671" spans="1:30"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row>
    <row r="672" spans="1:30"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row>
    <row r="673" spans="1:30"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row>
    <row r="674" spans="1:30"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row>
    <row r="675" spans="1:30"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row>
    <row r="676" spans="1:30"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row>
    <row r="677" spans="1:30"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row>
    <row r="678" spans="1:30"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row>
    <row r="679" spans="1:30"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row>
    <row r="680" spans="1:30"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row>
    <row r="681" spans="1:30"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row>
    <row r="682" spans="1:30"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row>
    <row r="683" spans="1:30"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row>
    <row r="684" spans="1:30"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row>
    <row r="685" spans="1:30"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row>
    <row r="686" spans="1:30"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row>
    <row r="687" spans="1:30"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row>
    <row r="688" spans="1:30"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row>
    <row r="689" spans="1:30"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row>
    <row r="690" spans="1:30"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row>
    <row r="691" spans="1:30"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row>
    <row r="692" spans="1:30"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row>
    <row r="693" spans="1:30"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row>
    <row r="694" spans="1:30"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row>
    <row r="695" spans="1:30"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row>
    <row r="696" spans="1:30"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row>
    <row r="697" spans="1:30"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row>
    <row r="698" spans="1:30"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row>
    <row r="699" spans="1:30"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row>
    <row r="700" spans="1:30"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row>
    <row r="701" spans="1:30"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row>
    <row r="702" spans="1:30"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row>
    <row r="703" spans="1:30"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row>
    <row r="704" spans="1:30"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row>
    <row r="705" spans="1:30"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row>
    <row r="706" spans="1:30"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row>
    <row r="707" spans="1:30"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row>
    <row r="708" spans="1:30"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row>
    <row r="709" spans="1:30"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row>
    <row r="710" spans="1:30"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row>
    <row r="711" spans="1:30"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row>
    <row r="712" spans="1:30"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row>
    <row r="713" spans="1:30"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row>
    <row r="714" spans="1:30"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row>
    <row r="715" spans="1:30"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row>
    <row r="716" spans="1:30"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row>
    <row r="717" spans="1:30"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row>
    <row r="718" spans="1:30"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row>
    <row r="719" spans="1:30"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row>
    <row r="720" spans="1:30"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row>
    <row r="721" spans="1:30"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row>
    <row r="722" spans="1:30"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row>
    <row r="723" spans="1:30"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row>
    <row r="724" spans="1:30"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row>
    <row r="725" spans="1:30"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row>
    <row r="726" spans="1:30"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row>
    <row r="727" spans="1:30"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row>
    <row r="728" spans="1:30"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row>
    <row r="729" spans="1:30"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row>
    <row r="730" spans="1:30"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row>
    <row r="731" spans="1:30"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row>
    <row r="732" spans="1:30"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row>
    <row r="733" spans="1:30"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row>
    <row r="734" spans="1:30"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row>
    <row r="735" spans="1:30"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row>
    <row r="736" spans="1:30"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row>
    <row r="737" spans="1:30"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row>
    <row r="738" spans="1:30"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row>
    <row r="739" spans="1:30"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row>
    <row r="740" spans="1:30"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row>
    <row r="741" spans="1:30"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row>
    <row r="742" spans="1:30"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row>
    <row r="743" spans="1:30"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row>
    <row r="744" spans="1:30"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row>
    <row r="745" spans="1:30"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row>
    <row r="746" spans="1:30"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row>
    <row r="747" spans="1:30"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row>
    <row r="748" spans="1:30"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row>
    <row r="749" spans="1:30"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row>
    <row r="750" spans="1:30"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row>
    <row r="751" spans="1:30"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row>
    <row r="752" spans="1:30"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row>
    <row r="753" spans="1:30"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row>
    <row r="754" spans="1:30"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row>
    <row r="755" spans="1:30"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row>
    <row r="756" spans="1:30"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row>
    <row r="757" spans="1:30"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row>
    <row r="758" spans="1:30"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row>
    <row r="759" spans="1:30"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row>
    <row r="760" spans="1:30"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row>
    <row r="761" spans="1:30"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row>
    <row r="762" spans="1:30"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row>
    <row r="763" spans="1:30"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row>
    <row r="764" spans="1:30"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row>
    <row r="765" spans="1:30"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row>
    <row r="766" spans="1:30"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row>
    <row r="767" spans="1:30"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row>
    <row r="768" spans="1:30"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row>
    <row r="769" spans="1:30"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row>
    <row r="770" spans="1:30"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row>
    <row r="771" spans="1:30"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row>
    <row r="772" spans="1:30"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row>
    <row r="773" spans="1:30"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row>
    <row r="774" spans="1:30"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row>
    <row r="775" spans="1:30"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row>
    <row r="776" spans="1:30"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row>
    <row r="777" spans="1:30"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row>
    <row r="778" spans="1:30"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row>
    <row r="779" spans="1:30"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row>
    <row r="780" spans="1:30"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row>
    <row r="781" spans="1:30"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row>
    <row r="782" spans="1:30"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row>
    <row r="783" spans="1:30"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row>
    <row r="784" spans="1:30"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row>
    <row r="785" spans="1:30"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row>
    <row r="786" spans="1:30"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row>
    <row r="787" spans="1:30"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row>
    <row r="788" spans="1:30"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row>
    <row r="789" spans="1:30"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row>
    <row r="790" spans="1:30"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row>
    <row r="791" spans="1:30"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row>
    <row r="792" spans="1:30"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row>
    <row r="793" spans="1:30"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row>
    <row r="794" spans="1:30"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row>
    <row r="795" spans="1:30"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row>
    <row r="796" spans="1:30"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row>
    <row r="797" spans="1:30"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row>
    <row r="798" spans="1:30"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row>
    <row r="799" spans="1:30"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row>
    <row r="800" spans="1:30"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row>
    <row r="801" spans="1:30"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row>
    <row r="802" spans="1:30"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row>
    <row r="803" spans="1:30"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row>
    <row r="804" spans="1:30"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row>
    <row r="805" spans="1:30"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row>
    <row r="806" spans="1:30"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row>
    <row r="807" spans="1:30"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row>
    <row r="808" spans="1:30"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row>
    <row r="809" spans="1:30"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row>
    <row r="810" spans="1:30"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row>
    <row r="811" spans="1:30"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row>
    <row r="812" spans="1:30"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row>
    <row r="813" spans="1:30"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row>
    <row r="814" spans="1:30"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row>
    <row r="815" spans="1:30"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row>
    <row r="816" spans="1:30"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row>
    <row r="817" spans="1:30"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row>
    <row r="818" spans="1:30"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row>
    <row r="819" spans="1:30"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row>
    <row r="820" spans="1:30"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row>
    <row r="821" spans="1:30"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row>
    <row r="822" spans="1:30"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row>
    <row r="823" spans="1:30"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row>
    <row r="824" spans="1:30"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row>
    <row r="825" spans="1:30"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row>
    <row r="826" spans="1:30"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row>
    <row r="827" spans="1:30"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row>
    <row r="828" spans="1:30"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row>
    <row r="829" spans="1:30"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row>
    <row r="830" spans="1:30"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row>
    <row r="831" spans="1:30"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row>
    <row r="832" spans="1:30"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row>
    <row r="833" spans="1:30"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row>
    <row r="834" spans="1:30"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row>
    <row r="835" spans="1:30"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row>
    <row r="836" spans="1:30"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row>
    <row r="837" spans="1:30"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row>
    <row r="838" spans="1:30"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row>
    <row r="839" spans="1:30"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row>
    <row r="840" spans="1:30"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row>
    <row r="841" spans="1:30"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row>
    <row r="842" spans="1:30"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row>
    <row r="843" spans="1:30"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row>
    <row r="844" spans="1:30"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row>
    <row r="845" spans="1:30"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row>
    <row r="846" spans="1:30"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row>
    <row r="847" spans="1:30"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row>
    <row r="848" spans="1:30"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row>
    <row r="849" spans="1:30"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row>
    <row r="850" spans="1:30"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row>
    <row r="851" spans="1:30"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row>
    <row r="852" spans="1:30"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row>
    <row r="853" spans="1:30"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row>
    <row r="854" spans="1:30"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row>
    <row r="855" spans="1:30"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row>
    <row r="856" spans="1:30"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row>
    <row r="857" spans="1:30"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row>
    <row r="858" spans="1:30"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row>
    <row r="859" spans="1:30"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row>
    <row r="860" spans="1:30"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row>
    <row r="861" spans="1:30"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row>
    <row r="862" spans="1:30"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row>
    <row r="863" spans="1:30"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row>
    <row r="864" spans="1:30"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row>
    <row r="865" spans="1:30"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row>
    <row r="866" spans="1:30"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row>
    <row r="867" spans="1:30"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row>
    <row r="868" spans="1:30"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row>
    <row r="869" spans="1:30"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row>
    <row r="870" spans="1:30"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row>
    <row r="871" spans="1:30"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row>
    <row r="872" spans="1:30"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row>
    <row r="873" spans="1:30"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row>
    <row r="874" spans="1:30"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row>
    <row r="875" spans="1:30"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row>
    <row r="876" spans="1:30"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row>
    <row r="877" spans="1:30"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row>
    <row r="878" spans="1:30"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row>
    <row r="879" spans="1:30"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row>
    <row r="880" spans="1:30"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row>
    <row r="881" spans="1:30"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row>
    <row r="882" spans="1:30"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row>
    <row r="883" spans="1:30"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row>
    <row r="884" spans="1:30"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row>
    <row r="885" spans="1:30"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row>
    <row r="886" spans="1:30"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row>
    <row r="887" spans="1:30"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row>
    <row r="888" spans="1:30"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row>
    <row r="889" spans="1:30"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row>
    <row r="890" spans="1:30"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row>
    <row r="891" spans="1:30"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row>
    <row r="892" spans="1:30"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row>
    <row r="893" spans="1:30"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row>
    <row r="894" spans="1:30"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row>
    <row r="895" spans="1:30"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row>
    <row r="896" spans="1:30"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row>
    <row r="897" spans="1:30"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row>
    <row r="898" spans="1:30"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row>
    <row r="899" spans="1:30"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row>
    <row r="900" spans="1:30"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row>
    <row r="901" spans="1:30"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row>
    <row r="902" spans="1:30"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row>
    <row r="903" spans="1:30"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row>
    <row r="904" spans="1:30"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row>
    <row r="905" spans="1:30"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row>
    <row r="906" spans="1:30"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row>
    <row r="907" spans="1:30"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row>
    <row r="908" spans="1:30"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row>
    <row r="909" spans="1:30"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row>
    <row r="910" spans="1:30"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row>
    <row r="911" spans="1:30"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row>
    <row r="912" spans="1:30"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row>
    <row r="913" spans="1:30"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row>
    <row r="914" spans="1:30"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row>
    <row r="915" spans="1:30"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row>
    <row r="916" spans="1:30"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row>
    <row r="917" spans="1:30"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row>
    <row r="918" spans="1:30"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row>
    <row r="919" spans="1:30"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row>
    <row r="920" spans="1:30"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row>
    <row r="921" spans="1:30"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row>
    <row r="922" spans="1:30"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row>
    <row r="923" spans="1:30"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row>
    <row r="924" spans="1:30"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row>
    <row r="925" spans="1:30"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row>
    <row r="926" spans="1:30"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row>
    <row r="927" spans="1:30"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row>
    <row r="928" spans="1:30"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row>
    <row r="929" spans="1:30"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row>
    <row r="930" spans="1:30"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row>
    <row r="931" spans="1:30"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row>
    <row r="932" spans="1:30"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row>
    <row r="933" spans="1:30"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row>
    <row r="934" spans="1:30"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row>
    <row r="935" spans="1:30"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row>
    <row r="936" spans="1:30"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row>
    <row r="937" spans="1:30"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row>
    <row r="938" spans="1:30"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row>
    <row r="939" spans="1:30"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row>
    <row r="940" spans="1:30"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row>
    <row r="941" spans="1:30"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row>
    <row r="942" spans="1:30"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row>
    <row r="943" spans="1:30"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row>
    <row r="944" spans="1:30"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row>
    <row r="945" spans="1:30"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row>
    <row r="946" spans="1:30"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row>
    <row r="947" spans="1:30"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row>
    <row r="948" spans="1:30"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row>
    <row r="949" spans="1:30"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row>
    <row r="950" spans="1:30"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row>
    <row r="951" spans="1:30"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row>
    <row r="952" spans="1:30"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row>
    <row r="953" spans="1:30"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row>
    <row r="954" spans="1:30"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row>
    <row r="955" spans="1:30"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row>
    <row r="956" spans="1:30"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row>
    <row r="957" spans="1:30"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row>
    <row r="958" spans="1:30"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row>
    <row r="959" spans="1:30"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row>
    <row r="960" spans="1:30"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row>
    <row r="961" spans="1:30"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row>
    <row r="962" spans="1:30"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row>
    <row r="963" spans="1:30"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row>
    <row r="964" spans="1:30"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row>
    <row r="965" spans="1:30"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row>
    <row r="966" spans="1:30"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row>
    <row r="967" spans="1:30"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row>
    <row r="968" spans="1:30"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row>
    <row r="969" spans="1:30"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row>
    <row r="970" spans="1:30" ht="12.75" customHeight="1" x14ac:dyDescent="0.2">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row>
    <row r="971" spans="1:30" ht="12.75" customHeight="1" x14ac:dyDescent="0.2">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row>
    <row r="972" spans="1:30" ht="12.75" customHeight="1" x14ac:dyDescent="0.2">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row>
    <row r="973" spans="1:30" ht="12.75" customHeight="1" x14ac:dyDescent="0.2">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row>
    <row r="974" spans="1:30" ht="12.75" customHeight="1" x14ac:dyDescent="0.2">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row>
    <row r="975" spans="1:30" ht="12.75" customHeight="1" x14ac:dyDescent="0.2">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row>
    <row r="976" spans="1:30" ht="12.75" customHeight="1" x14ac:dyDescent="0.2">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row>
    <row r="977" spans="1:30" ht="12.75" customHeight="1" x14ac:dyDescent="0.2">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row>
    <row r="978" spans="1:30" ht="12.75" customHeight="1" x14ac:dyDescent="0.2">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row>
    <row r="979" spans="1:30" ht="12.75" customHeight="1" x14ac:dyDescent="0.2">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row>
    <row r="980" spans="1:30" ht="12.75" customHeight="1" x14ac:dyDescent="0.2">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row>
    <row r="981" spans="1:30" ht="12.75" customHeight="1" x14ac:dyDescent="0.2">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row>
    <row r="982" spans="1:30" ht="12.75" customHeight="1" x14ac:dyDescent="0.2">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row>
    <row r="983" spans="1:30" ht="12.75" customHeight="1" x14ac:dyDescent="0.2">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row>
    <row r="984" spans="1:30" ht="12.75" customHeight="1" x14ac:dyDescent="0.2">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row>
    <row r="985" spans="1:30" ht="12.75" customHeight="1" x14ac:dyDescent="0.2">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row>
    <row r="986" spans="1:30" ht="12.75" customHeight="1" x14ac:dyDescent="0.2">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row>
    <row r="987" spans="1:30" ht="12.75" customHeight="1" x14ac:dyDescent="0.2">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row>
    <row r="988" spans="1:30" ht="12.75" customHeight="1" x14ac:dyDescent="0.2">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row>
    <row r="989" spans="1:30" ht="12.75" customHeight="1" x14ac:dyDescent="0.2">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row>
    <row r="990" spans="1:30" ht="12.75" customHeight="1" x14ac:dyDescent="0.2">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row>
    <row r="991" spans="1:30" ht="12.75" customHeight="1" x14ac:dyDescent="0.2">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row>
    <row r="992" spans="1:30" ht="12.75" customHeight="1" x14ac:dyDescent="0.2">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row>
    <row r="993" spans="1:30" ht="12.75" customHeight="1" x14ac:dyDescent="0.2">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row>
    <row r="994" spans="1:30" ht="12.75" customHeight="1" x14ac:dyDescent="0.2">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row>
    <row r="995" spans="1:30" ht="12.75" customHeight="1" x14ac:dyDescent="0.2">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row>
    <row r="996" spans="1:30" ht="12.75" customHeight="1" x14ac:dyDescent="0.2">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row>
    <row r="997" spans="1:30" ht="12.75" customHeight="1" x14ac:dyDescent="0.2">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row>
    <row r="998" spans="1:30" ht="12.75" customHeight="1" x14ac:dyDescent="0.2">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row>
    <row r="999" spans="1:30" ht="12.75" customHeight="1" x14ac:dyDescent="0.2">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row>
    <row r="1000" spans="1:30" ht="12.75" customHeight="1" x14ac:dyDescent="0.2">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row>
  </sheetData>
  <mergeCells count="51">
    <mergeCell ref="A78:B78"/>
    <mergeCell ref="A79:B79"/>
    <mergeCell ref="A80:B80"/>
    <mergeCell ref="A50:B50"/>
    <mergeCell ref="A51:B51"/>
    <mergeCell ref="A52:B52"/>
    <mergeCell ref="A53:B53"/>
    <mergeCell ref="A54:B54"/>
    <mergeCell ref="A55:B55"/>
    <mergeCell ref="A63:B63"/>
    <mergeCell ref="A64:B64"/>
    <mergeCell ref="A70:B70"/>
    <mergeCell ref="A71:B71"/>
    <mergeCell ref="A72:B72"/>
    <mergeCell ref="A77:B77"/>
    <mergeCell ref="A44:B44"/>
    <mergeCell ref="A45:B45"/>
    <mergeCell ref="A46:B46"/>
    <mergeCell ref="A47:B47"/>
    <mergeCell ref="A49:B49"/>
    <mergeCell ref="A39:B39"/>
    <mergeCell ref="A40:B40"/>
    <mergeCell ref="A41:B41"/>
    <mergeCell ref="A42:B42"/>
    <mergeCell ref="A43:B43"/>
    <mergeCell ref="A27:B27"/>
    <mergeCell ref="A28:B28"/>
    <mergeCell ref="A33:B33"/>
    <mergeCell ref="A34:B34"/>
    <mergeCell ref="A38:B38"/>
    <mergeCell ref="A9:B9"/>
    <mergeCell ref="A10:B10"/>
    <mergeCell ref="A24:B24"/>
    <mergeCell ref="A25:B25"/>
    <mergeCell ref="A26:B26"/>
    <mergeCell ref="AB8:AD8"/>
    <mergeCell ref="A2:B2"/>
    <mergeCell ref="A3:B3"/>
    <mergeCell ref="D3:E3"/>
    <mergeCell ref="C4:E4"/>
    <mergeCell ref="F4:H4"/>
    <mergeCell ref="E6:F6"/>
    <mergeCell ref="G8:H8"/>
    <mergeCell ref="A4:B4"/>
    <mergeCell ref="C7:H7"/>
    <mergeCell ref="I7:N7"/>
    <mergeCell ref="O7:T7"/>
    <mergeCell ref="U7:Z7"/>
    <mergeCell ref="M8:N8"/>
    <mergeCell ref="S8:T8"/>
    <mergeCell ref="Y8:Z8"/>
  </mergeCells>
  <conditionalFormatting sqref="D5:F5">
    <cfRule type="expression" dxfId="0" priority="1">
      <formula>AND(D5&lt;&gt;"",UPPER(LEFT(D5,2))&lt;&gt;"A/",UPPER(LEFT(D5,2))&lt;&gt;"C/",UPPER(LEFT(D5,2))&lt;&gt;"E/",UPPER(LEFT(D5,2))&lt;&gt;"M/",UPPER(LEFT(D5,2))&lt;&gt;"P/",UPPER(LEFT(D5,2))&lt;&gt;"R/")</formula>
    </cfRule>
  </conditionalFormatting>
  <pageMargins left="0.7" right="0.7" top="0.75" bottom="0.75" header="0" footer="0"/>
  <pageSetup orientation="landscape"/>
  <legacyDrawing r:id="rId1"/>
  <extLst>
    <ext xmlns:x14="http://schemas.microsoft.com/office/spreadsheetml/2009/9/main" uri="{CCE6A557-97BC-4b89-ADB6-D9C93CAAB3DF}">
      <x14:dataValidations xmlns:xm="http://schemas.microsoft.com/office/excel/2006/main" count="2">
        <x14:dataValidation type="list" allowBlank="1" showInputMessage="1" prompt="If the Grantee is a Sea Grant Program, then select the Program abbreviation from the drop-down menu. Otherwise enter your institution. Hit OK to continue" xr:uid="{00000000-0002-0000-0000-000000000000}">
          <x14:formula1>
            <xm:f>dropdowns!$A$2:$A$41</xm:f>
          </x14:formula1>
          <xm:sqref>B5</xm:sqref>
        </x14:dataValidation>
        <x14:dataValidation type="list" allowBlank="1" showErrorMessage="1" xr:uid="{00000000-0002-0000-0000-000001000000}">
          <x14:formula1>
            <xm:f>dropdowns!$B$3:$B$5</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Z1000"/>
  <sheetViews>
    <sheetView workbookViewId="0"/>
  </sheetViews>
  <sheetFormatPr baseColWidth="10" defaultColWidth="14.5" defaultRowHeight="15" customHeight="1" x14ac:dyDescent="0.2"/>
  <cols>
    <col min="1" max="1" width="5.33203125" customWidth="1"/>
    <col min="2" max="2" width="134.33203125" customWidth="1"/>
    <col min="3" max="26" width="11.5" customWidth="1"/>
  </cols>
  <sheetData>
    <row r="1" spans="2:2" ht="15.75" customHeight="1" x14ac:dyDescent="0.2">
      <c r="B1" s="185"/>
    </row>
    <row r="2" spans="2:2" ht="37.5" customHeight="1" x14ac:dyDescent="0.2">
      <c r="B2" s="186" t="s">
        <v>100</v>
      </c>
    </row>
    <row r="3" spans="2:2" ht="30.75" customHeight="1" x14ac:dyDescent="0.2">
      <c r="B3" s="187" t="s">
        <v>101</v>
      </c>
    </row>
    <row r="4" spans="2:2" ht="39.75" customHeight="1" x14ac:dyDescent="0.2">
      <c r="B4" s="188" t="s">
        <v>102</v>
      </c>
    </row>
    <row r="5" spans="2:2" ht="39.75" customHeight="1" x14ac:dyDescent="0.2">
      <c r="B5" s="185" t="s">
        <v>103</v>
      </c>
    </row>
    <row r="6" spans="2:2" ht="39" customHeight="1" x14ac:dyDescent="0.2">
      <c r="B6" s="185" t="s">
        <v>104</v>
      </c>
    </row>
    <row r="7" spans="2:2" ht="15.75" customHeight="1" x14ac:dyDescent="0.2">
      <c r="B7" s="189" t="s">
        <v>105</v>
      </c>
    </row>
    <row r="8" spans="2:2" ht="15.75" customHeight="1" x14ac:dyDescent="0.2">
      <c r="B8" s="185" t="s">
        <v>106</v>
      </c>
    </row>
    <row r="9" spans="2:2" ht="19.5" customHeight="1" x14ac:dyDescent="0.25">
      <c r="B9" s="190" t="s">
        <v>107</v>
      </c>
    </row>
    <row r="10" spans="2:2" ht="15.75" customHeight="1" x14ac:dyDescent="0.2">
      <c r="B10" s="185" t="s">
        <v>108</v>
      </c>
    </row>
    <row r="11" spans="2:2" ht="15.75" customHeight="1" x14ac:dyDescent="0.2">
      <c r="B11" s="185" t="s">
        <v>109</v>
      </c>
    </row>
    <row r="12" spans="2:2" ht="39.75" customHeight="1" x14ac:dyDescent="0.2">
      <c r="B12" s="188" t="s">
        <v>110</v>
      </c>
    </row>
    <row r="13" spans="2:2" ht="60" customHeight="1" x14ac:dyDescent="0.2">
      <c r="B13" s="188" t="s">
        <v>111</v>
      </c>
    </row>
    <row r="14" spans="2:2" ht="19.5" customHeight="1" x14ac:dyDescent="0.2">
      <c r="B14" s="189" t="s">
        <v>112</v>
      </c>
    </row>
    <row r="15" spans="2:2" ht="60" customHeight="1" x14ac:dyDescent="0.2">
      <c r="B15" s="188" t="s">
        <v>113</v>
      </c>
    </row>
    <row r="16" spans="2:2" ht="39.75" customHeight="1" x14ac:dyDescent="0.2">
      <c r="B16" s="188" t="s">
        <v>114</v>
      </c>
    </row>
    <row r="17" spans="1:26" ht="39.75" customHeight="1" x14ac:dyDescent="0.2">
      <c r="B17" s="188" t="s">
        <v>115</v>
      </c>
    </row>
    <row r="18" spans="1:26" ht="75" customHeight="1" x14ac:dyDescent="0.2">
      <c r="B18" s="188" t="s">
        <v>116</v>
      </c>
    </row>
    <row r="19" spans="1:26" ht="39.75" customHeight="1" x14ac:dyDescent="0.2">
      <c r="B19" s="188" t="s">
        <v>117</v>
      </c>
    </row>
    <row r="20" spans="1:26" ht="19.5" customHeight="1" x14ac:dyDescent="0.2">
      <c r="B20" s="188" t="s">
        <v>118</v>
      </c>
    </row>
    <row r="21" spans="1:26" ht="19.5" customHeight="1" x14ac:dyDescent="0.2">
      <c r="B21" s="189" t="s">
        <v>119</v>
      </c>
    </row>
    <row r="22" spans="1:26" ht="75" customHeight="1" x14ac:dyDescent="0.2">
      <c r="B22" s="188" t="s">
        <v>120</v>
      </c>
    </row>
    <row r="23" spans="1:26" ht="109.5" customHeight="1" x14ac:dyDescent="0.2">
      <c r="B23" s="188" t="s">
        <v>121</v>
      </c>
    </row>
    <row r="24" spans="1:26" ht="19.5" customHeight="1" x14ac:dyDescent="0.25">
      <c r="B24" s="190" t="s">
        <v>122</v>
      </c>
    </row>
    <row r="25" spans="1:26" ht="39.75" customHeight="1" x14ac:dyDescent="0.2">
      <c r="A25" s="191"/>
      <c r="B25" s="185" t="s">
        <v>123</v>
      </c>
      <c r="C25" s="191"/>
      <c r="D25" s="191"/>
      <c r="E25" s="191"/>
      <c r="F25" s="191"/>
      <c r="G25" s="191"/>
      <c r="H25" s="191"/>
      <c r="I25" s="191"/>
      <c r="J25" s="191"/>
      <c r="K25" s="191"/>
      <c r="L25" s="191"/>
      <c r="M25" s="191"/>
      <c r="N25" s="191"/>
      <c r="O25" s="191"/>
      <c r="P25" s="191"/>
      <c r="Q25" s="191"/>
      <c r="R25" s="191"/>
      <c r="S25" s="191"/>
      <c r="T25" s="191"/>
      <c r="U25" s="191"/>
      <c r="V25" s="191"/>
      <c r="W25" s="191"/>
      <c r="X25" s="191"/>
      <c r="Y25" s="191"/>
      <c r="Z25" s="191"/>
    </row>
    <row r="26" spans="1:26" ht="19.5" customHeight="1" x14ac:dyDescent="0.2">
      <c r="B26" s="192" t="s">
        <v>124</v>
      </c>
    </row>
    <row r="27" spans="1:26" ht="19.5" customHeight="1" x14ac:dyDescent="0.2">
      <c r="B27" s="192" t="s">
        <v>125</v>
      </c>
    </row>
    <row r="28" spans="1:26" ht="19.5" customHeight="1" x14ac:dyDescent="0.2">
      <c r="B28" s="192" t="s">
        <v>126</v>
      </c>
    </row>
    <row r="29" spans="1:26" ht="39.75" customHeight="1" x14ac:dyDescent="0.2">
      <c r="B29" s="192" t="s">
        <v>127</v>
      </c>
    </row>
    <row r="30" spans="1:26" ht="19.5" customHeight="1" x14ac:dyDescent="0.2">
      <c r="B30" s="192" t="s">
        <v>128</v>
      </c>
    </row>
    <row r="31" spans="1:26" ht="19.5" customHeight="1" x14ac:dyDescent="0.2">
      <c r="B31" s="192" t="s">
        <v>129</v>
      </c>
    </row>
    <row r="32" spans="1:26" ht="19.5" customHeight="1" x14ac:dyDescent="0.2">
      <c r="B32" s="192" t="s">
        <v>130</v>
      </c>
    </row>
    <row r="33" spans="2:2" ht="19.5" customHeight="1" x14ac:dyDescent="0.2">
      <c r="B33" s="192" t="s">
        <v>131</v>
      </c>
    </row>
    <row r="34" spans="2:2" ht="19.5" customHeight="1" x14ac:dyDescent="0.2">
      <c r="B34" s="192" t="s">
        <v>132</v>
      </c>
    </row>
    <row r="35" spans="2:2" ht="39.75" customHeight="1" x14ac:dyDescent="0.2">
      <c r="B35" s="192" t="s">
        <v>133</v>
      </c>
    </row>
    <row r="36" spans="2:2" ht="39.75" customHeight="1" x14ac:dyDescent="0.2">
      <c r="B36" s="192" t="s">
        <v>134</v>
      </c>
    </row>
    <row r="37" spans="2:2" ht="19.5" customHeight="1" x14ac:dyDescent="0.2">
      <c r="B37" s="192" t="s">
        <v>135</v>
      </c>
    </row>
    <row r="38" spans="2:2" ht="19.5" customHeight="1" x14ac:dyDescent="0.2">
      <c r="B38" s="192" t="s">
        <v>136</v>
      </c>
    </row>
    <row r="39" spans="2:2" ht="19.5" customHeight="1" x14ac:dyDescent="0.2">
      <c r="B39" s="192" t="s">
        <v>137</v>
      </c>
    </row>
    <row r="40" spans="2:2" ht="19.5" customHeight="1" x14ac:dyDescent="0.2">
      <c r="B40" s="192" t="s">
        <v>138</v>
      </c>
    </row>
    <row r="41" spans="2:2" ht="19.5" customHeight="1" x14ac:dyDescent="0.2">
      <c r="B41" s="192" t="s">
        <v>139</v>
      </c>
    </row>
    <row r="42" spans="2:2" ht="39.75" customHeight="1" x14ac:dyDescent="0.2">
      <c r="B42" s="192" t="s">
        <v>140</v>
      </c>
    </row>
    <row r="43" spans="2:2" ht="39.75" customHeight="1" x14ac:dyDescent="0.2">
      <c r="B43" s="192" t="s">
        <v>141</v>
      </c>
    </row>
    <row r="44" spans="2:2" ht="39.75" customHeight="1" x14ac:dyDescent="0.2">
      <c r="B44" s="192" t="s">
        <v>142</v>
      </c>
    </row>
    <row r="45" spans="2:2" ht="19.5" customHeight="1" x14ac:dyDescent="0.2">
      <c r="B45" s="192" t="s">
        <v>143</v>
      </c>
    </row>
    <row r="46" spans="2:2" ht="19.5" customHeight="1" x14ac:dyDescent="0.2">
      <c r="B46" s="192" t="s">
        <v>144</v>
      </c>
    </row>
    <row r="47" spans="2:2" ht="19.5" customHeight="1" x14ac:dyDescent="0.2">
      <c r="B47" s="192" t="s">
        <v>145</v>
      </c>
    </row>
    <row r="48" spans="2:2" ht="39.75" customHeight="1" x14ac:dyDescent="0.2">
      <c r="B48" s="192" t="s">
        <v>146</v>
      </c>
    </row>
    <row r="49" spans="2:2" ht="19.5" customHeight="1" x14ac:dyDescent="0.2">
      <c r="B49" s="192" t="s">
        <v>147</v>
      </c>
    </row>
    <row r="50" spans="2:2" ht="3" customHeight="1" x14ac:dyDescent="0.2">
      <c r="B50" s="193"/>
    </row>
    <row r="51" spans="2:2" ht="15.75" customHeight="1" x14ac:dyDescent="0.2">
      <c r="B51" s="185"/>
    </row>
    <row r="52" spans="2:2" ht="15.75" customHeight="1" x14ac:dyDescent="0.2">
      <c r="B52" s="185"/>
    </row>
    <row r="53" spans="2:2" ht="15.75" customHeight="1" x14ac:dyDescent="0.2">
      <c r="B53" s="185"/>
    </row>
    <row r="54" spans="2:2" ht="15.75" customHeight="1" x14ac:dyDescent="0.2">
      <c r="B54" s="185"/>
    </row>
    <row r="55" spans="2:2" ht="15.75" customHeight="1" x14ac:dyDescent="0.2">
      <c r="B55" s="185"/>
    </row>
    <row r="56" spans="2:2" ht="15.75" customHeight="1" x14ac:dyDescent="0.2">
      <c r="B56" s="185"/>
    </row>
    <row r="57" spans="2:2" ht="15.75" customHeight="1" x14ac:dyDescent="0.2">
      <c r="B57" s="185"/>
    </row>
    <row r="58" spans="2:2" ht="15.75" customHeight="1" x14ac:dyDescent="0.2">
      <c r="B58" s="185"/>
    </row>
    <row r="59" spans="2:2" ht="15.75" customHeight="1" x14ac:dyDescent="0.2">
      <c r="B59" s="185"/>
    </row>
    <row r="60" spans="2:2" ht="15.75" customHeight="1" x14ac:dyDescent="0.2">
      <c r="B60" s="185"/>
    </row>
    <row r="61" spans="2:2" ht="15.75" customHeight="1" x14ac:dyDescent="0.2">
      <c r="B61" s="185"/>
    </row>
    <row r="62" spans="2:2" ht="15.75" customHeight="1" x14ac:dyDescent="0.2">
      <c r="B62" s="185"/>
    </row>
    <row r="63" spans="2:2" ht="15.75" customHeight="1" x14ac:dyDescent="0.2">
      <c r="B63" s="185"/>
    </row>
    <row r="64" spans="2:2" ht="15.75" customHeight="1" x14ac:dyDescent="0.2">
      <c r="B64" s="185"/>
    </row>
    <row r="65" spans="2:2" ht="15.75" customHeight="1" x14ac:dyDescent="0.2">
      <c r="B65" s="185"/>
    </row>
    <row r="66" spans="2:2" ht="15.75" customHeight="1" x14ac:dyDescent="0.2">
      <c r="B66" s="185"/>
    </row>
    <row r="67" spans="2:2" ht="15.75" customHeight="1" x14ac:dyDescent="0.2">
      <c r="B67" s="185"/>
    </row>
    <row r="68" spans="2:2" ht="15.75" customHeight="1" x14ac:dyDescent="0.2">
      <c r="B68" s="185"/>
    </row>
    <row r="69" spans="2:2" ht="15.75" customHeight="1" x14ac:dyDescent="0.2">
      <c r="B69" s="185"/>
    </row>
    <row r="70" spans="2:2" ht="15.75" customHeight="1" x14ac:dyDescent="0.2">
      <c r="B70" s="185"/>
    </row>
    <row r="71" spans="2:2" ht="15.75" customHeight="1" x14ac:dyDescent="0.2">
      <c r="B71" s="185"/>
    </row>
    <row r="72" spans="2:2" ht="15.75" customHeight="1" x14ac:dyDescent="0.2">
      <c r="B72" s="185"/>
    </row>
    <row r="73" spans="2:2" ht="15.75" customHeight="1" x14ac:dyDescent="0.2">
      <c r="B73" s="185"/>
    </row>
    <row r="74" spans="2:2" ht="15.75" customHeight="1" x14ac:dyDescent="0.2">
      <c r="B74" s="185"/>
    </row>
    <row r="75" spans="2:2" ht="15.75" customHeight="1" x14ac:dyDescent="0.2">
      <c r="B75" s="185"/>
    </row>
    <row r="76" spans="2:2" ht="15.75" customHeight="1" x14ac:dyDescent="0.2">
      <c r="B76" s="185"/>
    </row>
    <row r="77" spans="2:2" ht="15.75" customHeight="1" x14ac:dyDescent="0.2">
      <c r="B77" s="185"/>
    </row>
    <row r="78" spans="2:2" ht="15.75" customHeight="1" x14ac:dyDescent="0.2">
      <c r="B78" s="185"/>
    </row>
    <row r="79" spans="2:2" ht="15.75" customHeight="1" x14ac:dyDescent="0.2">
      <c r="B79" s="185"/>
    </row>
    <row r="80" spans="2:2" ht="15.75" customHeight="1" x14ac:dyDescent="0.2">
      <c r="B80" s="185"/>
    </row>
    <row r="81" spans="2:2" ht="15.75" customHeight="1" x14ac:dyDescent="0.2">
      <c r="B81" s="185"/>
    </row>
    <row r="82" spans="2:2" ht="15.75" customHeight="1" x14ac:dyDescent="0.2">
      <c r="B82" s="185"/>
    </row>
    <row r="83" spans="2:2" ht="15.75" customHeight="1" x14ac:dyDescent="0.2">
      <c r="B83" s="185"/>
    </row>
    <row r="84" spans="2:2" ht="15.75" customHeight="1" x14ac:dyDescent="0.2">
      <c r="B84" s="185"/>
    </row>
    <row r="85" spans="2:2" ht="15.75" customHeight="1" x14ac:dyDescent="0.2">
      <c r="B85" s="185"/>
    </row>
    <row r="86" spans="2:2" ht="15.75" customHeight="1" x14ac:dyDescent="0.2">
      <c r="B86" s="185"/>
    </row>
    <row r="87" spans="2:2" ht="15.75" customHeight="1" x14ac:dyDescent="0.2">
      <c r="B87" s="185"/>
    </row>
    <row r="88" spans="2:2" ht="15.75" customHeight="1" x14ac:dyDescent="0.2">
      <c r="B88" s="185"/>
    </row>
    <row r="89" spans="2:2" ht="15.75" customHeight="1" x14ac:dyDescent="0.2">
      <c r="B89" s="185"/>
    </row>
    <row r="90" spans="2:2" ht="15.75" customHeight="1" x14ac:dyDescent="0.2">
      <c r="B90" s="185"/>
    </row>
    <row r="91" spans="2:2" ht="15.75" customHeight="1" x14ac:dyDescent="0.2">
      <c r="B91" s="185"/>
    </row>
    <row r="92" spans="2:2" ht="15.75" customHeight="1" x14ac:dyDescent="0.2">
      <c r="B92" s="185"/>
    </row>
    <row r="93" spans="2:2" ht="15.75" customHeight="1" x14ac:dyDescent="0.2">
      <c r="B93" s="185"/>
    </row>
    <row r="94" spans="2:2" ht="15.75" customHeight="1" x14ac:dyDescent="0.2">
      <c r="B94" s="185"/>
    </row>
    <row r="95" spans="2:2" ht="15.75" customHeight="1" x14ac:dyDescent="0.2">
      <c r="B95" s="185"/>
    </row>
    <row r="96" spans="2:2" ht="15.75" customHeight="1" x14ac:dyDescent="0.2">
      <c r="B96" s="185"/>
    </row>
    <row r="97" spans="2:2" ht="15.75" customHeight="1" x14ac:dyDescent="0.2">
      <c r="B97" s="185"/>
    </row>
    <row r="98" spans="2:2" ht="15.75" customHeight="1" x14ac:dyDescent="0.2">
      <c r="B98" s="185"/>
    </row>
    <row r="99" spans="2:2" ht="15.75" customHeight="1" x14ac:dyDescent="0.2">
      <c r="B99" s="185"/>
    </row>
    <row r="100" spans="2:2" ht="15.75" customHeight="1" x14ac:dyDescent="0.2">
      <c r="B100" s="185"/>
    </row>
    <row r="101" spans="2:2" ht="15.75" customHeight="1" x14ac:dyDescent="0.2">
      <c r="B101" s="185"/>
    </row>
    <row r="102" spans="2:2" ht="15.75" customHeight="1" x14ac:dyDescent="0.2">
      <c r="B102" s="185"/>
    </row>
    <row r="103" spans="2:2" ht="15.75" customHeight="1" x14ac:dyDescent="0.2">
      <c r="B103" s="185"/>
    </row>
    <row r="104" spans="2:2" ht="15.75" customHeight="1" x14ac:dyDescent="0.2">
      <c r="B104" s="185"/>
    </row>
    <row r="105" spans="2:2" ht="15.75" customHeight="1" x14ac:dyDescent="0.2">
      <c r="B105" s="185"/>
    </row>
    <row r="106" spans="2:2" ht="15.75" customHeight="1" x14ac:dyDescent="0.2">
      <c r="B106" s="185"/>
    </row>
    <row r="107" spans="2:2" ht="15.75" customHeight="1" x14ac:dyDescent="0.2">
      <c r="B107" s="185"/>
    </row>
    <row r="108" spans="2:2" ht="15.75" customHeight="1" x14ac:dyDescent="0.2">
      <c r="B108" s="185"/>
    </row>
    <row r="109" spans="2:2" ht="15.75" customHeight="1" x14ac:dyDescent="0.2">
      <c r="B109" s="185"/>
    </row>
    <row r="110" spans="2:2" ht="15.75" customHeight="1" x14ac:dyDescent="0.2">
      <c r="B110" s="185"/>
    </row>
    <row r="111" spans="2:2" ht="15.75" customHeight="1" x14ac:dyDescent="0.2">
      <c r="B111" s="185"/>
    </row>
    <row r="112" spans="2:2" ht="15.75" customHeight="1" x14ac:dyDescent="0.2">
      <c r="B112" s="185"/>
    </row>
    <row r="113" spans="2:2" ht="15.75" customHeight="1" x14ac:dyDescent="0.2">
      <c r="B113" s="185"/>
    </row>
    <row r="114" spans="2:2" ht="15.75" customHeight="1" x14ac:dyDescent="0.2">
      <c r="B114" s="185"/>
    </row>
    <row r="115" spans="2:2" ht="15.75" customHeight="1" x14ac:dyDescent="0.2">
      <c r="B115" s="185"/>
    </row>
    <row r="116" spans="2:2" ht="15.75" customHeight="1" x14ac:dyDescent="0.2">
      <c r="B116" s="185"/>
    </row>
    <row r="117" spans="2:2" ht="15.75" customHeight="1" x14ac:dyDescent="0.2">
      <c r="B117" s="185"/>
    </row>
    <row r="118" spans="2:2" ht="15.75" customHeight="1" x14ac:dyDescent="0.2">
      <c r="B118" s="185"/>
    </row>
    <row r="119" spans="2:2" ht="15.75" customHeight="1" x14ac:dyDescent="0.2">
      <c r="B119" s="185"/>
    </row>
    <row r="120" spans="2:2" ht="15.75" customHeight="1" x14ac:dyDescent="0.2">
      <c r="B120" s="185"/>
    </row>
    <row r="121" spans="2:2" ht="15.75" customHeight="1" x14ac:dyDescent="0.2">
      <c r="B121" s="185"/>
    </row>
    <row r="122" spans="2:2" ht="15.75" customHeight="1" x14ac:dyDescent="0.2">
      <c r="B122" s="185"/>
    </row>
    <row r="123" spans="2:2" ht="15.75" customHeight="1" x14ac:dyDescent="0.2">
      <c r="B123" s="185"/>
    </row>
    <row r="124" spans="2:2" ht="15.75" customHeight="1" x14ac:dyDescent="0.2">
      <c r="B124" s="185"/>
    </row>
    <row r="125" spans="2:2" ht="15.75" customHeight="1" x14ac:dyDescent="0.2">
      <c r="B125" s="185"/>
    </row>
    <row r="126" spans="2:2" ht="15.75" customHeight="1" x14ac:dyDescent="0.2">
      <c r="B126" s="185"/>
    </row>
    <row r="127" spans="2:2" ht="15.75" customHeight="1" x14ac:dyDescent="0.2">
      <c r="B127" s="185"/>
    </row>
    <row r="128" spans="2:2" ht="15.75" customHeight="1" x14ac:dyDescent="0.2">
      <c r="B128" s="185"/>
    </row>
    <row r="129" spans="2:2" ht="15.75" customHeight="1" x14ac:dyDescent="0.2">
      <c r="B129" s="185"/>
    </row>
    <row r="130" spans="2:2" ht="15.75" customHeight="1" x14ac:dyDescent="0.2">
      <c r="B130" s="185"/>
    </row>
    <row r="131" spans="2:2" ht="15.75" customHeight="1" x14ac:dyDescent="0.2">
      <c r="B131" s="185"/>
    </row>
    <row r="132" spans="2:2" ht="15.75" customHeight="1" x14ac:dyDescent="0.2">
      <c r="B132" s="185"/>
    </row>
    <row r="133" spans="2:2" ht="15.75" customHeight="1" x14ac:dyDescent="0.2">
      <c r="B133" s="185"/>
    </row>
    <row r="134" spans="2:2" ht="15.75" customHeight="1" x14ac:dyDescent="0.2">
      <c r="B134" s="185"/>
    </row>
    <row r="135" spans="2:2" ht="15.75" customHeight="1" x14ac:dyDescent="0.2">
      <c r="B135" s="185"/>
    </row>
    <row r="136" spans="2:2" ht="15.75" customHeight="1" x14ac:dyDescent="0.2">
      <c r="B136" s="185"/>
    </row>
    <row r="137" spans="2:2" ht="15.75" customHeight="1" x14ac:dyDescent="0.2">
      <c r="B137" s="185"/>
    </row>
    <row r="138" spans="2:2" ht="15.75" customHeight="1" x14ac:dyDescent="0.2">
      <c r="B138" s="185"/>
    </row>
    <row r="139" spans="2:2" ht="15.75" customHeight="1" x14ac:dyDescent="0.2">
      <c r="B139" s="185"/>
    </row>
    <row r="140" spans="2:2" ht="15.75" customHeight="1" x14ac:dyDescent="0.2">
      <c r="B140" s="185"/>
    </row>
    <row r="141" spans="2:2" ht="15.75" customHeight="1" x14ac:dyDescent="0.2">
      <c r="B141" s="185"/>
    </row>
    <row r="142" spans="2:2" ht="15.75" customHeight="1" x14ac:dyDescent="0.2">
      <c r="B142" s="185"/>
    </row>
    <row r="143" spans="2:2" ht="15.75" customHeight="1" x14ac:dyDescent="0.2">
      <c r="B143" s="185"/>
    </row>
    <row r="144" spans="2:2" ht="15.75" customHeight="1" x14ac:dyDescent="0.2">
      <c r="B144" s="185"/>
    </row>
    <row r="145" spans="2:2" ht="15.75" customHeight="1" x14ac:dyDescent="0.2">
      <c r="B145" s="185"/>
    </row>
    <row r="146" spans="2:2" ht="15.75" customHeight="1" x14ac:dyDescent="0.2">
      <c r="B146" s="185"/>
    </row>
    <row r="147" spans="2:2" ht="15.75" customHeight="1" x14ac:dyDescent="0.2">
      <c r="B147" s="185"/>
    </row>
    <row r="148" spans="2:2" ht="15.75" customHeight="1" x14ac:dyDescent="0.2">
      <c r="B148" s="185"/>
    </row>
    <row r="149" spans="2:2" ht="15.75" customHeight="1" x14ac:dyDescent="0.2">
      <c r="B149" s="185"/>
    </row>
    <row r="150" spans="2:2" ht="15.75" customHeight="1" x14ac:dyDescent="0.2">
      <c r="B150" s="185"/>
    </row>
    <row r="151" spans="2:2" ht="15.75" customHeight="1" x14ac:dyDescent="0.2">
      <c r="B151" s="185"/>
    </row>
    <row r="152" spans="2:2" ht="15.75" customHeight="1" x14ac:dyDescent="0.2">
      <c r="B152" s="185"/>
    </row>
    <row r="153" spans="2:2" ht="15.75" customHeight="1" x14ac:dyDescent="0.2">
      <c r="B153" s="185"/>
    </row>
    <row r="154" spans="2:2" ht="15.75" customHeight="1" x14ac:dyDescent="0.2">
      <c r="B154" s="185"/>
    </row>
    <row r="155" spans="2:2" ht="15.75" customHeight="1" x14ac:dyDescent="0.2">
      <c r="B155" s="185"/>
    </row>
    <row r="156" spans="2:2" ht="15.75" customHeight="1" x14ac:dyDescent="0.2">
      <c r="B156" s="185"/>
    </row>
    <row r="157" spans="2:2" ht="15.75" customHeight="1" x14ac:dyDescent="0.2">
      <c r="B157" s="185"/>
    </row>
    <row r="158" spans="2:2" ht="15.75" customHeight="1" x14ac:dyDescent="0.2">
      <c r="B158" s="185"/>
    </row>
    <row r="159" spans="2:2" ht="15.75" customHeight="1" x14ac:dyDescent="0.2">
      <c r="B159" s="185"/>
    </row>
    <row r="160" spans="2:2" ht="15.75" customHeight="1" x14ac:dyDescent="0.2">
      <c r="B160" s="185"/>
    </row>
    <row r="161" spans="2:2" ht="15.75" customHeight="1" x14ac:dyDescent="0.2">
      <c r="B161" s="185"/>
    </row>
    <row r="162" spans="2:2" ht="15.75" customHeight="1" x14ac:dyDescent="0.2">
      <c r="B162" s="185"/>
    </row>
    <row r="163" spans="2:2" ht="15.75" customHeight="1" x14ac:dyDescent="0.2">
      <c r="B163" s="185"/>
    </row>
    <row r="164" spans="2:2" ht="15.75" customHeight="1" x14ac:dyDescent="0.2">
      <c r="B164" s="185"/>
    </row>
    <row r="165" spans="2:2" ht="15.75" customHeight="1" x14ac:dyDescent="0.2">
      <c r="B165" s="185"/>
    </row>
    <row r="166" spans="2:2" ht="15.75" customHeight="1" x14ac:dyDescent="0.2">
      <c r="B166" s="185"/>
    </row>
    <row r="167" spans="2:2" ht="15.75" customHeight="1" x14ac:dyDescent="0.2">
      <c r="B167" s="185"/>
    </row>
    <row r="168" spans="2:2" ht="15.75" customHeight="1" x14ac:dyDescent="0.2">
      <c r="B168" s="185"/>
    </row>
    <row r="169" spans="2:2" ht="15.75" customHeight="1" x14ac:dyDescent="0.2">
      <c r="B169" s="185"/>
    </row>
    <row r="170" spans="2:2" ht="15.75" customHeight="1" x14ac:dyDescent="0.2">
      <c r="B170" s="185"/>
    </row>
    <row r="171" spans="2:2" ht="15.75" customHeight="1" x14ac:dyDescent="0.2">
      <c r="B171" s="185"/>
    </row>
    <row r="172" spans="2:2" ht="15.75" customHeight="1" x14ac:dyDescent="0.2">
      <c r="B172" s="185"/>
    </row>
    <row r="173" spans="2:2" ht="15.75" customHeight="1" x14ac:dyDescent="0.2">
      <c r="B173" s="185"/>
    </row>
    <row r="174" spans="2:2" ht="15.75" customHeight="1" x14ac:dyDescent="0.2">
      <c r="B174" s="185"/>
    </row>
    <row r="175" spans="2:2" ht="15.75" customHeight="1" x14ac:dyDescent="0.2">
      <c r="B175" s="185"/>
    </row>
    <row r="176" spans="2:2" ht="15.75" customHeight="1" x14ac:dyDescent="0.2">
      <c r="B176" s="185"/>
    </row>
    <row r="177" spans="2:2" ht="15.75" customHeight="1" x14ac:dyDescent="0.2">
      <c r="B177" s="185"/>
    </row>
    <row r="178" spans="2:2" ht="15.75" customHeight="1" x14ac:dyDescent="0.2">
      <c r="B178" s="185"/>
    </row>
    <row r="179" spans="2:2" ht="15.75" customHeight="1" x14ac:dyDescent="0.2">
      <c r="B179" s="185"/>
    </row>
    <row r="180" spans="2:2" ht="15.75" customHeight="1" x14ac:dyDescent="0.2">
      <c r="B180" s="185"/>
    </row>
    <row r="181" spans="2:2" ht="15.75" customHeight="1" x14ac:dyDescent="0.2">
      <c r="B181" s="185"/>
    </row>
    <row r="182" spans="2:2" ht="15.75" customHeight="1" x14ac:dyDescent="0.2">
      <c r="B182" s="185"/>
    </row>
    <row r="183" spans="2:2" ht="15.75" customHeight="1" x14ac:dyDescent="0.2">
      <c r="B183" s="185"/>
    </row>
    <row r="184" spans="2:2" ht="15.75" customHeight="1" x14ac:dyDescent="0.2">
      <c r="B184" s="185"/>
    </row>
    <row r="185" spans="2:2" ht="15.75" customHeight="1" x14ac:dyDescent="0.2">
      <c r="B185" s="185"/>
    </row>
    <row r="186" spans="2:2" ht="15.75" customHeight="1" x14ac:dyDescent="0.2">
      <c r="B186" s="185"/>
    </row>
    <row r="187" spans="2:2" ht="15.75" customHeight="1" x14ac:dyDescent="0.2">
      <c r="B187" s="185"/>
    </row>
    <row r="188" spans="2:2" ht="15.75" customHeight="1" x14ac:dyDescent="0.2">
      <c r="B188" s="185"/>
    </row>
    <row r="189" spans="2:2" ht="15.75" customHeight="1" x14ac:dyDescent="0.2">
      <c r="B189" s="185"/>
    </row>
    <row r="190" spans="2:2" ht="15.75" customHeight="1" x14ac:dyDescent="0.2">
      <c r="B190" s="185"/>
    </row>
    <row r="191" spans="2:2" ht="15.75" customHeight="1" x14ac:dyDescent="0.2">
      <c r="B191" s="185"/>
    </row>
    <row r="192" spans="2:2" ht="15.75" customHeight="1" x14ac:dyDescent="0.2">
      <c r="B192" s="185"/>
    </row>
    <row r="193" spans="2:2" ht="15.75" customHeight="1" x14ac:dyDescent="0.2">
      <c r="B193" s="185"/>
    </row>
    <row r="194" spans="2:2" ht="15.75" customHeight="1" x14ac:dyDescent="0.2">
      <c r="B194" s="185"/>
    </row>
    <row r="195" spans="2:2" ht="15.75" customHeight="1" x14ac:dyDescent="0.2">
      <c r="B195" s="185"/>
    </row>
    <row r="196" spans="2:2" ht="15.75" customHeight="1" x14ac:dyDescent="0.2">
      <c r="B196" s="185"/>
    </row>
    <row r="197" spans="2:2" ht="15.75" customHeight="1" x14ac:dyDescent="0.2">
      <c r="B197" s="185"/>
    </row>
    <row r="198" spans="2:2" ht="15.75" customHeight="1" x14ac:dyDescent="0.2">
      <c r="B198" s="185"/>
    </row>
    <row r="199" spans="2:2" ht="15.75" customHeight="1" x14ac:dyDescent="0.2">
      <c r="B199" s="185"/>
    </row>
    <row r="200" spans="2:2" ht="15.75" customHeight="1" x14ac:dyDescent="0.2">
      <c r="B200" s="185"/>
    </row>
    <row r="201" spans="2:2" ht="15.75" customHeight="1" x14ac:dyDescent="0.2">
      <c r="B201" s="185"/>
    </row>
    <row r="202" spans="2:2" ht="15.75" customHeight="1" x14ac:dyDescent="0.2">
      <c r="B202" s="185"/>
    </row>
    <row r="203" spans="2:2" ht="15.75" customHeight="1" x14ac:dyDescent="0.2">
      <c r="B203" s="185"/>
    </row>
    <row r="204" spans="2:2" ht="15.75" customHeight="1" x14ac:dyDescent="0.2">
      <c r="B204" s="185"/>
    </row>
    <row r="205" spans="2:2" ht="15.75" customHeight="1" x14ac:dyDescent="0.2">
      <c r="B205" s="185"/>
    </row>
    <row r="206" spans="2:2" ht="15.75" customHeight="1" x14ac:dyDescent="0.2">
      <c r="B206" s="185"/>
    </row>
    <row r="207" spans="2:2" ht="15.75" customHeight="1" x14ac:dyDescent="0.2">
      <c r="B207" s="185"/>
    </row>
    <row r="208" spans="2:2" ht="15.75" customHeight="1" x14ac:dyDescent="0.2">
      <c r="B208" s="185"/>
    </row>
    <row r="209" spans="2:2" ht="15.75" customHeight="1" x14ac:dyDescent="0.2">
      <c r="B209" s="185"/>
    </row>
    <row r="210" spans="2:2" ht="15.75" customHeight="1" x14ac:dyDescent="0.2">
      <c r="B210" s="185"/>
    </row>
    <row r="211" spans="2:2" ht="15.75" customHeight="1" x14ac:dyDescent="0.2">
      <c r="B211" s="185"/>
    </row>
    <row r="212" spans="2:2" ht="15.75" customHeight="1" x14ac:dyDescent="0.2">
      <c r="B212" s="185"/>
    </row>
    <row r="213" spans="2:2" ht="15.75" customHeight="1" x14ac:dyDescent="0.2">
      <c r="B213" s="185"/>
    </row>
    <row r="214" spans="2:2" ht="15.75" customHeight="1" x14ac:dyDescent="0.2">
      <c r="B214" s="185"/>
    </row>
    <row r="215" spans="2:2" ht="15.75" customHeight="1" x14ac:dyDescent="0.2">
      <c r="B215" s="185"/>
    </row>
    <row r="216" spans="2:2" ht="15.75" customHeight="1" x14ac:dyDescent="0.2">
      <c r="B216" s="185"/>
    </row>
    <row r="217" spans="2:2" ht="15.75" customHeight="1" x14ac:dyDescent="0.2">
      <c r="B217" s="185"/>
    </row>
    <row r="218" spans="2:2" ht="15.75" customHeight="1" x14ac:dyDescent="0.2">
      <c r="B218" s="185"/>
    </row>
    <row r="219" spans="2:2" ht="15.75" customHeight="1" x14ac:dyDescent="0.2">
      <c r="B219" s="185"/>
    </row>
    <row r="220" spans="2:2" ht="15.75" customHeight="1" x14ac:dyDescent="0.2">
      <c r="B220" s="185"/>
    </row>
    <row r="221" spans="2:2" ht="15.75" customHeight="1" x14ac:dyDescent="0.2">
      <c r="B221" s="185"/>
    </row>
    <row r="222" spans="2:2" ht="15.75" customHeight="1" x14ac:dyDescent="0.2">
      <c r="B222" s="185"/>
    </row>
    <row r="223" spans="2:2" ht="15.75" customHeight="1" x14ac:dyDescent="0.2">
      <c r="B223" s="185"/>
    </row>
    <row r="224" spans="2:2" ht="15.75" customHeight="1" x14ac:dyDescent="0.2">
      <c r="B224" s="185"/>
    </row>
    <row r="225" spans="2:2" ht="15.75" customHeight="1" x14ac:dyDescent="0.2">
      <c r="B225" s="185"/>
    </row>
    <row r="226" spans="2:2" ht="15.75" customHeight="1" x14ac:dyDescent="0.2">
      <c r="B226" s="185"/>
    </row>
    <row r="227" spans="2:2" ht="15.75" customHeight="1" x14ac:dyDescent="0.2">
      <c r="B227" s="185"/>
    </row>
    <row r="228" spans="2:2" ht="15.75" customHeight="1" x14ac:dyDescent="0.2">
      <c r="B228" s="185"/>
    </row>
    <row r="229" spans="2:2" ht="15.75" customHeight="1" x14ac:dyDescent="0.2">
      <c r="B229" s="185"/>
    </row>
    <row r="230" spans="2:2" ht="15.75" customHeight="1" x14ac:dyDescent="0.2">
      <c r="B230" s="185"/>
    </row>
    <row r="231" spans="2:2" ht="15.75" customHeight="1" x14ac:dyDescent="0.2">
      <c r="B231" s="185"/>
    </row>
    <row r="232" spans="2:2" ht="15.75" customHeight="1" x14ac:dyDescent="0.2">
      <c r="B232" s="185"/>
    </row>
    <row r="233" spans="2:2" ht="15.75" customHeight="1" x14ac:dyDescent="0.2">
      <c r="B233" s="185"/>
    </row>
    <row r="234" spans="2:2" ht="15.75" customHeight="1" x14ac:dyDescent="0.2">
      <c r="B234" s="185"/>
    </row>
    <row r="235" spans="2:2" ht="15.75" customHeight="1" x14ac:dyDescent="0.2">
      <c r="B235" s="185"/>
    </row>
    <row r="236" spans="2:2" ht="15.75" customHeight="1" x14ac:dyDescent="0.2">
      <c r="B236" s="185"/>
    </row>
    <row r="237" spans="2:2" ht="15.75" customHeight="1" x14ac:dyDescent="0.2">
      <c r="B237" s="185"/>
    </row>
    <row r="238" spans="2:2" ht="15.75" customHeight="1" x14ac:dyDescent="0.2">
      <c r="B238" s="185"/>
    </row>
    <row r="239" spans="2:2" ht="15.75" customHeight="1" x14ac:dyDescent="0.2">
      <c r="B239" s="185"/>
    </row>
    <row r="240" spans="2:2" ht="15.75" customHeight="1" x14ac:dyDescent="0.2">
      <c r="B240" s="185"/>
    </row>
    <row r="241" spans="2:2" ht="15.75" customHeight="1" x14ac:dyDescent="0.2">
      <c r="B241" s="185"/>
    </row>
    <row r="242" spans="2:2" ht="15.75" customHeight="1" x14ac:dyDescent="0.2">
      <c r="B242" s="185"/>
    </row>
    <row r="243" spans="2:2" ht="15.75" customHeight="1" x14ac:dyDescent="0.2">
      <c r="B243" s="185"/>
    </row>
    <row r="244" spans="2:2" ht="15.75" customHeight="1" x14ac:dyDescent="0.2">
      <c r="B244" s="185"/>
    </row>
    <row r="245" spans="2:2" ht="15.75" customHeight="1" x14ac:dyDescent="0.2">
      <c r="B245" s="185"/>
    </row>
    <row r="246" spans="2:2" ht="15.75" customHeight="1" x14ac:dyDescent="0.2">
      <c r="B246" s="185"/>
    </row>
    <row r="247" spans="2:2" ht="15.75" customHeight="1" x14ac:dyDescent="0.2">
      <c r="B247" s="185"/>
    </row>
    <row r="248" spans="2:2" ht="15.75" customHeight="1" x14ac:dyDescent="0.2">
      <c r="B248" s="185"/>
    </row>
    <row r="249" spans="2:2" ht="15.75" customHeight="1" x14ac:dyDescent="0.2">
      <c r="B249" s="185"/>
    </row>
    <row r="250" spans="2:2" ht="15.75" customHeight="1" x14ac:dyDescent="0.2">
      <c r="B250" s="185"/>
    </row>
    <row r="251" spans="2:2" ht="15.75" customHeight="1" x14ac:dyDescent="0.2">
      <c r="B251" s="185"/>
    </row>
    <row r="252" spans="2:2" ht="15.75" customHeight="1" x14ac:dyDescent="0.2">
      <c r="B252" s="185"/>
    </row>
    <row r="253" spans="2:2" ht="15.75" customHeight="1" x14ac:dyDescent="0.2">
      <c r="B253" s="185"/>
    </row>
    <row r="254" spans="2:2" ht="15.75" customHeight="1" x14ac:dyDescent="0.2">
      <c r="B254" s="185"/>
    </row>
    <row r="255" spans="2:2" ht="15.75" customHeight="1" x14ac:dyDescent="0.2">
      <c r="B255" s="185"/>
    </row>
    <row r="256" spans="2:2" ht="15.75" customHeight="1" x14ac:dyDescent="0.2">
      <c r="B256" s="185"/>
    </row>
    <row r="257" spans="2:2" ht="15.75" customHeight="1" x14ac:dyDescent="0.2">
      <c r="B257" s="185"/>
    </row>
    <row r="258" spans="2:2" ht="15.75" customHeight="1" x14ac:dyDescent="0.2">
      <c r="B258" s="185"/>
    </row>
    <row r="259" spans="2:2" ht="15.75" customHeight="1" x14ac:dyDescent="0.2">
      <c r="B259" s="185"/>
    </row>
    <row r="260" spans="2:2" ht="15.75" customHeight="1" x14ac:dyDescent="0.2">
      <c r="B260" s="185"/>
    </row>
    <row r="261" spans="2:2" ht="15.75" customHeight="1" x14ac:dyDescent="0.2">
      <c r="B261" s="185"/>
    </row>
    <row r="262" spans="2:2" ht="15.75" customHeight="1" x14ac:dyDescent="0.2">
      <c r="B262" s="185"/>
    </row>
    <row r="263" spans="2:2" ht="15.75" customHeight="1" x14ac:dyDescent="0.2">
      <c r="B263" s="185"/>
    </row>
    <row r="264" spans="2:2" ht="15.75" customHeight="1" x14ac:dyDescent="0.2">
      <c r="B264" s="185"/>
    </row>
    <row r="265" spans="2:2" ht="15.75" customHeight="1" x14ac:dyDescent="0.2">
      <c r="B265" s="185"/>
    </row>
    <row r="266" spans="2:2" ht="15.75" customHeight="1" x14ac:dyDescent="0.2">
      <c r="B266" s="185"/>
    </row>
    <row r="267" spans="2:2" ht="15.75" customHeight="1" x14ac:dyDescent="0.2">
      <c r="B267" s="185"/>
    </row>
    <row r="268" spans="2:2" ht="15.75" customHeight="1" x14ac:dyDescent="0.2">
      <c r="B268" s="185"/>
    </row>
    <row r="269" spans="2:2" ht="15.75" customHeight="1" x14ac:dyDescent="0.2">
      <c r="B269" s="185"/>
    </row>
    <row r="270" spans="2:2" ht="15.75" customHeight="1" x14ac:dyDescent="0.2">
      <c r="B270" s="185"/>
    </row>
    <row r="271" spans="2:2" ht="15.75" customHeight="1" x14ac:dyDescent="0.2">
      <c r="B271" s="185"/>
    </row>
    <row r="272" spans="2:2" ht="15.75" customHeight="1" x14ac:dyDescent="0.2">
      <c r="B272" s="185"/>
    </row>
    <row r="273" spans="2:2" ht="15.75" customHeight="1" x14ac:dyDescent="0.2">
      <c r="B273" s="185"/>
    </row>
    <row r="274" spans="2:2" ht="15.75" customHeight="1" x14ac:dyDescent="0.2">
      <c r="B274" s="185"/>
    </row>
    <row r="275" spans="2:2" ht="15.75" customHeight="1" x14ac:dyDescent="0.2">
      <c r="B275" s="185"/>
    </row>
    <row r="276" spans="2:2" ht="15.75" customHeight="1" x14ac:dyDescent="0.2">
      <c r="B276" s="185"/>
    </row>
    <row r="277" spans="2:2" ht="15.75" customHeight="1" x14ac:dyDescent="0.2">
      <c r="B277" s="185"/>
    </row>
    <row r="278" spans="2:2" ht="15.75" customHeight="1" x14ac:dyDescent="0.2">
      <c r="B278" s="185"/>
    </row>
    <row r="279" spans="2:2" ht="15.75" customHeight="1" x14ac:dyDescent="0.2">
      <c r="B279" s="185"/>
    </row>
    <row r="280" spans="2:2" ht="15.75" customHeight="1" x14ac:dyDescent="0.2">
      <c r="B280" s="185"/>
    </row>
    <row r="281" spans="2:2" ht="15.75" customHeight="1" x14ac:dyDescent="0.2">
      <c r="B281" s="185"/>
    </row>
    <row r="282" spans="2:2" ht="15.75" customHeight="1" x14ac:dyDescent="0.2">
      <c r="B282" s="185"/>
    </row>
    <row r="283" spans="2:2" ht="15.75" customHeight="1" x14ac:dyDescent="0.2">
      <c r="B283" s="185"/>
    </row>
    <row r="284" spans="2:2" ht="15.75" customHeight="1" x14ac:dyDescent="0.2">
      <c r="B284" s="185"/>
    </row>
    <row r="285" spans="2:2" ht="15.75" customHeight="1" x14ac:dyDescent="0.2">
      <c r="B285" s="185"/>
    </row>
    <row r="286" spans="2:2" ht="15.75" customHeight="1" x14ac:dyDescent="0.2">
      <c r="B286" s="185"/>
    </row>
    <row r="287" spans="2:2" ht="15.75" customHeight="1" x14ac:dyDescent="0.2">
      <c r="B287" s="185"/>
    </row>
    <row r="288" spans="2:2" ht="15.75" customHeight="1" x14ac:dyDescent="0.2">
      <c r="B288" s="185"/>
    </row>
    <row r="289" spans="2:2" ht="15.75" customHeight="1" x14ac:dyDescent="0.2">
      <c r="B289" s="185"/>
    </row>
    <row r="290" spans="2:2" ht="15.75" customHeight="1" x14ac:dyDescent="0.2">
      <c r="B290" s="185"/>
    </row>
    <row r="291" spans="2:2" ht="15.75" customHeight="1" x14ac:dyDescent="0.2">
      <c r="B291" s="185"/>
    </row>
    <row r="292" spans="2:2" ht="15.75" customHeight="1" x14ac:dyDescent="0.2">
      <c r="B292" s="185"/>
    </row>
    <row r="293" spans="2:2" ht="15.75" customHeight="1" x14ac:dyDescent="0.2">
      <c r="B293" s="185"/>
    </row>
    <row r="294" spans="2:2" ht="15.75" customHeight="1" x14ac:dyDescent="0.2">
      <c r="B294" s="185"/>
    </row>
    <row r="295" spans="2:2" ht="15.75" customHeight="1" x14ac:dyDescent="0.2">
      <c r="B295" s="185"/>
    </row>
    <row r="296" spans="2:2" ht="15.75" customHeight="1" x14ac:dyDescent="0.2">
      <c r="B296" s="185"/>
    </row>
    <row r="297" spans="2:2" ht="15.75" customHeight="1" x14ac:dyDescent="0.2">
      <c r="B297" s="185"/>
    </row>
    <row r="298" spans="2:2" ht="15.75" customHeight="1" x14ac:dyDescent="0.2">
      <c r="B298" s="185"/>
    </row>
    <row r="299" spans="2:2" ht="15.75" customHeight="1" x14ac:dyDescent="0.2">
      <c r="B299" s="185"/>
    </row>
    <row r="300" spans="2:2" ht="15.75" customHeight="1" x14ac:dyDescent="0.2">
      <c r="B300" s="185"/>
    </row>
    <row r="301" spans="2:2" ht="15.75" customHeight="1" x14ac:dyDescent="0.2">
      <c r="B301" s="185"/>
    </row>
    <row r="302" spans="2:2" ht="15.75" customHeight="1" x14ac:dyDescent="0.2">
      <c r="B302" s="185"/>
    </row>
    <row r="303" spans="2:2" ht="15.75" customHeight="1" x14ac:dyDescent="0.2">
      <c r="B303" s="185"/>
    </row>
    <row r="304" spans="2:2" ht="15.75" customHeight="1" x14ac:dyDescent="0.2">
      <c r="B304" s="185"/>
    </row>
    <row r="305" spans="2:2" ht="15.75" customHeight="1" x14ac:dyDescent="0.2">
      <c r="B305" s="185"/>
    </row>
    <row r="306" spans="2:2" ht="15.75" customHeight="1" x14ac:dyDescent="0.2">
      <c r="B306" s="185"/>
    </row>
    <row r="307" spans="2:2" ht="15.75" customHeight="1" x14ac:dyDescent="0.2">
      <c r="B307" s="185"/>
    </row>
    <row r="308" spans="2:2" ht="15.75" customHeight="1" x14ac:dyDescent="0.2">
      <c r="B308" s="185"/>
    </row>
    <row r="309" spans="2:2" ht="15.75" customHeight="1" x14ac:dyDescent="0.2">
      <c r="B309" s="185"/>
    </row>
    <row r="310" spans="2:2" ht="15.75" customHeight="1" x14ac:dyDescent="0.2">
      <c r="B310" s="185"/>
    </row>
    <row r="311" spans="2:2" ht="15.75" customHeight="1" x14ac:dyDescent="0.2">
      <c r="B311" s="185"/>
    </row>
    <row r="312" spans="2:2" ht="15.75" customHeight="1" x14ac:dyDescent="0.2">
      <c r="B312" s="185"/>
    </row>
    <row r="313" spans="2:2" ht="15.75" customHeight="1" x14ac:dyDescent="0.2">
      <c r="B313" s="185"/>
    </row>
    <row r="314" spans="2:2" ht="15.75" customHeight="1" x14ac:dyDescent="0.2">
      <c r="B314" s="185"/>
    </row>
    <row r="315" spans="2:2" ht="15.75" customHeight="1" x14ac:dyDescent="0.2">
      <c r="B315" s="185"/>
    </row>
    <row r="316" spans="2:2" ht="15.75" customHeight="1" x14ac:dyDescent="0.2">
      <c r="B316" s="185"/>
    </row>
    <row r="317" spans="2:2" ht="15.75" customHeight="1" x14ac:dyDescent="0.2">
      <c r="B317" s="185"/>
    </row>
    <row r="318" spans="2:2" ht="15.75" customHeight="1" x14ac:dyDescent="0.2">
      <c r="B318" s="185"/>
    </row>
    <row r="319" spans="2:2" ht="15.75" customHeight="1" x14ac:dyDescent="0.2">
      <c r="B319" s="185"/>
    </row>
    <row r="320" spans="2:2" ht="15.75" customHeight="1" x14ac:dyDescent="0.2">
      <c r="B320" s="185"/>
    </row>
    <row r="321" spans="2:2" ht="15.75" customHeight="1" x14ac:dyDescent="0.2">
      <c r="B321" s="185"/>
    </row>
    <row r="322" spans="2:2" ht="15.75" customHeight="1" x14ac:dyDescent="0.2">
      <c r="B322" s="185"/>
    </row>
    <row r="323" spans="2:2" ht="15.75" customHeight="1" x14ac:dyDescent="0.2">
      <c r="B323" s="185"/>
    </row>
    <row r="324" spans="2:2" ht="15.75" customHeight="1" x14ac:dyDescent="0.2">
      <c r="B324" s="185"/>
    </row>
    <row r="325" spans="2:2" ht="15.75" customHeight="1" x14ac:dyDescent="0.2">
      <c r="B325" s="185"/>
    </row>
    <row r="326" spans="2:2" ht="15.75" customHeight="1" x14ac:dyDescent="0.2">
      <c r="B326" s="185"/>
    </row>
    <row r="327" spans="2:2" ht="15.75" customHeight="1" x14ac:dyDescent="0.2">
      <c r="B327" s="185"/>
    </row>
    <row r="328" spans="2:2" ht="15.75" customHeight="1" x14ac:dyDescent="0.2">
      <c r="B328" s="185"/>
    </row>
    <row r="329" spans="2:2" ht="15.75" customHeight="1" x14ac:dyDescent="0.2">
      <c r="B329" s="185"/>
    </row>
    <row r="330" spans="2:2" ht="15.75" customHeight="1" x14ac:dyDescent="0.2">
      <c r="B330" s="185"/>
    </row>
    <row r="331" spans="2:2" ht="15.75" customHeight="1" x14ac:dyDescent="0.2">
      <c r="B331" s="185"/>
    </row>
    <row r="332" spans="2:2" ht="15.75" customHeight="1" x14ac:dyDescent="0.2">
      <c r="B332" s="185"/>
    </row>
    <row r="333" spans="2:2" ht="15.75" customHeight="1" x14ac:dyDescent="0.2">
      <c r="B333" s="185"/>
    </row>
    <row r="334" spans="2:2" ht="15.75" customHeight="1" x14ac:dyDescent="0.2">
      <c r="B334" s="185"/>
    </row>
    <row r="335" spans="2:2" ht="15.75" customHeight="1" x14ac:dyDescent="0.2">
      <c r="B335" s="185"/>
    </row>
    <row r="336" spans="2:2" ht="15.75" customHeight="1" x14ac:dyDescent="0.2">
      <c r="B336" s="185"/>
    </row>
    <row r="337" spans="2:2" ht="15.75" customHeight="1" x14ac:dyDescent="0.2">
      <c r="B337" s="185"/>
    </row>
    <row r="338" spans="2:2" ht="15.75" customHeight="1" x14ac:dyDescent="0.2">
      <c r="B338" s="185"/>
    </row>
    <row r="339" spans="2:2" ht="15.75" customHeight="1" x14ac:dyDescent="0.2">
      <c r="B339" s="185"/>
    </row>
    <row r="340" spans="2:2" ht="15.75" customHeight="1" x14ac:dyDescent="0.2">
      <c r="B340" s="185"/>
    </row>
    <row r="341" spans="2:2" ht="15.75" customHeight="1" x14ac:dyDescent="0.2">
      <c r="B341" s="185"/>
    </row>
    <row r="342" spans="2:2" ht="15.75" customHeight="1" x14ac:dyDescent="0.2">
      <c r="B342" s="185"/>
    </row>
    <row r="343" spans="2:2" ht="15.75" customHeight="1" x14ac:dyDescent="0.2">
      <c r="B343" s="185"/>
    </row>
    <row r="344" spans="2:2" ht="15.75" customHeight="1" x14ac:dyDescent="0.2">
      <c r="B344" s="185"/>
    </row>
    <row r="345" spans="2:2" ht="15.75" customHeight="1" x14ac:dyDescent="0.2">
      <c r="B345" s="185"/>
    </row>
    <row r="346" spans="2:2" ht="15.75" customHeight="1" x14ac:dyDescent="0.2">
      <c r="B346" s="185"/>
    </row>
    <row r="347" spans="2:2" ht="15.75" customHeight="1" x14ac:dyDescent="0.2">
      <c r="B347" s="185"/>
    </row>
    <row r="348" spans="2:2" ht="15.75" customHeight="1" x14ac:dyDescent="0.2">
      <c r="B348" s="185"/>
    </row>
    <row r="349" spans="2:2" ht="15.75" customHeight="1" x14ac:dyDescent="0.2">
      <c r="B349" s="185"/>
    </row>
    <row r="350" spans="2:2" ht="15.75" customHeight="1" x14ac:dyDescent="0.2">
      <c r="B350" s="185"/>
    </row>
    <row r="351" spans="2:2" ht="15.75" customHeight="1" x14ac:dyDescent="0.2">
      <c r="B351" s="185"/>
    </row>
    <row r="352" spans="2:2" ht="15.75" customHeight="1" x14ac:dyDescent="0.2">
      <c r="B352" s="185"/>
    </row>
    <row r="353" spans="2:2" ht="15.75" customHeight="1" x14ac:dyDescent="0.2">
      <c r="B353" s="185"/>
    </row>
    <row r="354" spans="2:2" ht="15.75" customHeight="1" x14ac:dyDescent="0.2">
      <c r="B354" s="185"/>
    </row>
    <row r="355" spans="2:2" ht="15.75" customHeight="1" x14ac:dyDescent="0.2">
      <c r="B355" s="185"/>
    </row>
    <row r="356" spans="2:2" ht="15.75" customHeight="1" x14ac:dyDescent="0.2">
      <c r="B356" s="185"/>
    </row>
    <row r="357" spans="2:2" ht="15.75" customHeight="1" x14ac:dyDescent="0.2">
      <c r="B357" s="185"/>
    </row>
    <row r="358" spans="2:2" ht="15.75" customHeight="1" x14ac:dyDescent="0.2">
      <c r="B358" s="185"/>
    </row>
    <row r="359" spans="2:2" ht="15.75" customHeight="1" x14ac:dyDescent="0.2">
      <c r="B359" s="185"/>
    </row>
    <row r="360" spans="2:2" ht="15.75" customHeight="1" x14ac:dyDescent="0.2">
      <c r="B360" s="185"/>
    </row>
    <row r="361" spans="2:2" ht="15.75" customHeight="1" x14ac:dyDescent="0.2">
      <c r="B361" s="185"/>
    </row>
    <row r="362" spans="2:2" ht="15.75" customHeight="1" x14ac:dyDescent="0.2">
      <c r="B362" s="185"/>
    </row>
    <row r="363" spans="2:2" ht="15.75" customHeight="1" x14ac:dyDescent="0.2">
      <c r="B363" s="185"/>
    </row>
    <row r="364" spans="2:2" ht="15.75" customHeight="1" x14ac:dyDescent="0.2">
      <c r="B364" s="185"/>
    </row>
    <row r="365" spans="2:2" ht="15.75" customHeight="1" x14ac:dyDescent="0.2">
      <c r="B365" s="185"/>
    </row>
    <row r="366" spans="2:2" ht="15.75" customHeight="1" x14ac:dyDescent="0.2">
      <c r="B366" s="185"/>
    </row>
    <row r="367" spans="2:2" ht="15.75" customHeight="1" x14ac:dyDescent="0.2">
      <c r="B367" s="185"/>
    </row>
    <row r="368" spans="2:2" ht="15.75" customHeight="1" x14ac:dyDescent="0.2">
      <c r="B368" s="185"/>
    </row>
    <row r="369" spans="2:2" ht="15.75" customHeight="1" x14ac:dyDescent="0.2">
      <c r="B369" s="185"/>
    </row>
    <row r="370" spans="2:2" ht="15.75" customHeight="1" x14ac:dyDescent="0.2">
      <c r="B370" s="185"/>
    </row>
    <row r="371" spans="2:2" ht="15.75" customHeight="1" x14ac:dyDescent="0.2">
      <c r="B371" s="185"/>
    </row>
    <row r="372" spans="2:2" ht="15.75" customHeight="1" x14ac:dyDescent="0.2">
      <c r="B372" s="185"/>
    </row>
    <row r="373" spans="2:2" ht="15.75" customHeight="1" x14ac:dyDescent="0.2">
      <c r="B373" s="185"/>
    </row>
    <row r="374" spans="2:2" ht="15.75" customHeight="1" x14ac:dyDescent="0.2">
      <c r="B374" s="185"/>
    </row>
    <row r="375" spans="2:2" ht="15.75" customHeight="1" x14ac:dyDescent="0.2">
      <c r="B375" s="185"/>
    </row>
    <row r="376" spans="2:2" ht="15.75" customHeight="1" x14ac:dyDescent="0.2">
      <c r="B376" s="185"/>
    </row>
    <row r="377" spans="2:2" ht="15.75" customHeight="1" x14ac:dyDescent="0.2">
      <c r="B377" s="185"/>
    </row>
    <row r="378" spans="2:2" ht="15.75" customHeight="1" x14ac:dyDescent="0.2">
      <c r="B378" s="185"/>
    </row>
    <row r="379" spans="2:2" ht="15.75" customHeight="1" x14ac:dyDescent="0.2">
      <c r="B379" s="185"/>
    </row>
    <row r="380" spans="2:2" ht="15.75" customHeight="1" x14ac:dyDescent="0.2">
      <c r="B380" s="185"/>
    </row>
    <row r="381" spans="2:2" ht="15.75" customHeight="1" x14ac:dyDescent="0.2">
      <c r="B381" s="185"/>
    </row>
    <row r="382" spans="2:2" ht="15.75" customHeight="1" x14ac:dyDescent="0.2">
      <c r="B382" s="185"/>
    </row>
    <row r="383" spans="2:2" ht="15.75" customHeight="1" x14ac:dyDescent="0.2">
      <c r="B383" s="185"/>
    </row>
    <row r="384" spans="2:2" ht="15.75" customHeight="1" x14ac:dyDescent="0.2">
      <c r="B384" s="185"/>
    </row>
    <row r="385" spans="2:2" ht="15.75" customHeight="1" x14ac:dyDescent="0.2">
      <c r="B385" s="185"/>
    </row>
    <row r="386" spans="2:2" ht="15.75" customHeight="1" x14ac:dyDescent="0.2">
      <c r="B386" s="185"/>
    </row>
    <row r="387" spans="2:2" ht="15.75" customHeight="1" x14ac:dyDescent="0.2">
      <c r="B387" s="185"/>
    </row>
    <row r="388" spans="2:2" ht="15.75" customHeight="1" x14ac:dyDescent="0.2">
      <c r="B388" s="185"/>
    </row>
    <row r="389" spans="2:2" ht="15.75" customHeight="1" x14ac:dyDescent="0.2">
      <c r="B389" s="185"/>
    </row>
    <row r="390" spans="2:2" ht="15.75" customHeight="1" x14ac:dyDescent="0.2">
      <c r="B390" s="185"/>
    </row>
    <row r="391" spans="2:2" ht="15.75" customHeight="1" x14ac:dyDescent="0.2">
      <c r="B391" s="185"/>
    </row>
    <row r="392" spans="2:2" ht="15.75" customHeight="1" x14ac:dyDescent="0.2">
      <c r="B392" s="185"/>
    </row>
    <row r="393" spans="2:2" ht="15.75" customHeight="1" x14ac:dyDescent="0.2">
      <c r="B393" s="185"/>
    </row>
    <row r="394" spans="2:2" ht="15.75" customHeight="1" x14ac:dyDescent="0.2">
      <c r="B394" s="185"/>
    </row>
    <row r="395" spans="2:2" ht="15.75" customHeight="1" x14ac:dyDescent="0.2">
      <c r="B395" s="185"/>
    </row>
    <row r="396" spans="2:2" ht="15.75" customHeight="1" x14ac:dyDescent="0.2">
      <c r="B396" s="185"/>
    </row>
    <row r="397" spans="2:2" ht="15.75" customHeight="1" x14ac:dyDescent="0.2">
      <c r="B397" s="185"/>
    </row>
    <row r="398" spans="2:2" ht="15.75" customHeight="1" x14ac:dyDescent="0.2">
      <c r="B398" s="185"/>
    </row>
    <row r="399" spans="2:2" ht="15.75" customHeight="1" x14ac:dyDescent="0.2">
      <c r="B399" s="185"/>
    </row>
    <row r="400" spans="2:2" ht="15.75" customHeight="1" x14ac:dyDescent="0.2">
      <c r="B400" s="185"/>
    </row>
    <row r="401" spans="2:2" ht="15.75" customHeight="1" x14ac:dyDescent="0.2">
      <c r="B401" s="185"/>
    </row>
    <row r="402" spans="2:2" ht="15.75" customHeight="1" x14ac:dyDescent="0.2">
      <c r="B402" s="185"/>
    </row>
    <row r="403" spans="2:2" ht="15.75" customHeight="1" x14ac:dyDescent="0.2">
      <c r="B403" s="185"/>
    </row>
    <row r="404" spans="2:2" ht="15.75" customHeight="1" x14ac:dyDescent="0.2">
      <c r="B404" s="185"/>
    </row>
    <row r="405" spans="2:2" ht="15.75" customHeight="1" x14ac:dyDescent="0.2">
      <c r="B405" s="185"/>
    </row>
    <row r="406" spans="2:2" ht="15.75" customHeight="1" x14ac:dyDescent="0.2">
      <c r="B406" s="185"/>
    </row>
    <row r="407" spans="2:2" ht="15.75" customHeight="1" x14ac:dyDescent="0.2">
      <c r="B407" s="185"/>
    </row>
    <row r="408" spans="2:2" ht="15.75" customHeight="1" x14ac:dyDescent="0.2">
      <c r="B408" s="185"/>
    </row>
    <row r="409" spans="2:2" ht="15.75" customHeight="1" x14ac:dyDescent="0.2">
      <c r="B409" s="185"/>
    </row>
    <row r="410" spans="2:2" ht="15.75" customHeight="1" x14ac:dyDescent="0.2">
      <c r="B410" s="185"/>
    </row>
    <row r="411" spans="2:2" ht="15.75" customHeight="1" x14ac:dyDescent="0.2">
      <c r="B411" s="185"/>
    </row>
    <row r="412" spans="2:2" ht="15.75" customHeight="1" x14ac:dyDescent="0.2">
      <c r="B412" s="185"/>
    </row>
    <row r="413" spans="2:2" ht="15.75" customHeight="1" x14ac:dyDescent="0.2">
      <c r="B413" s="185"/>
    </row>
    <row r="414" spans="2:2" ht="15.75" customHeight="1" x14ac:dyDescent="0.2">
      <c r="B414" s="185"/>
    </row>
    <row r="415" spans="2:2" ht="15.75" customHeight="1" x14ac:dyDescent="0.2">
      <c r="B415" s="185"/>
    </row>
    <row r="416" spans="2:2" ht="15.75" customHeight="1" x14ac:dyDescent="0.2">
      <c r="B416" s="185"/>
    </row>
    <row r="417" spans="2:2" ht="15.75" customHeight="1" x14ac:dyDescent="0.2">
      <c r="B417" s="185"/>
    </row>
    <row r="418" spans="2:2" ht="15.75" customHeight="1" x14ac:dyDescent="0.2">
      <c r="B418" s="185"/>
    </row>
    <row r="419" spans="2:2" ht="15.75" customHeight="1" x14ac:dyDescent="0.2">
      <c r="B419" s="185"/>
    </row>
    <row r="420" spans="2:2" ht="15.75" customHeight="1" x14ac:dyDescent="0.2">
      <c r="B420" s="185"/>
    </row>
    <row r="421" spans="2:2" ht="15.75" customHeight="1" x14ac:dyDescent="0.2">
      <c r="B421" s="185"/>
    </row>
    <row r="422" spans="2:2" ht="15.75" customHeight="1" x14ac:dyDescent="0.2">
      <c r="B422" s="185"/>
    </row>
    <row r="423" spans="2:2" ht="15.75" customHeight="1" x14ac:dyDescent="0.2">
      <c r="B423" s="185"/>
    </row>
    <row r="424" spans="2:2" ht="15.75" customHeight="1" x14ac:dyDescent="0.2">
      <c r="B424" s="185"/>
    </row>
    <row r="425" spans="2:2" ht="15.75" customHeight="1" x14ac:dyDescent="0.2">
      <c r="B425" s="185"/>
    </row>
    <row r="426" spans="2:2" ht="15.75" customHeight="1" x14ac:dyDescent="0.2">
      <c r="B426" s="185"/>
    </row>
    <row r="427" spans="2:2" ht="15.75" customHeight="1" x14ac:dyDescent="0.2">
      <c r="B427" s="185"/>
    </row>
    <row r="428" spans="2:2" ht="15.75" customHeight="1" x14ac:dyDescent="0.2">
      <c r="B428" s="185"/>
    </row>
    <row r="429" spans="2:2" ht="15.75" customHeight="1" x14ac:dyDescent="0.2">
      <c r="B429" s="185"/>
    </row>
    <row r="430" spans="2:2" ht="15.75" customHeight="1" x14ac:dyDescent="0.2">
      <c r="B430" s="185"/>
    </row>
    <row r="431" spans="2:2" ht="15.75" customHeight="1" x14ac:dyDescent="0.2">
      <c r="B431" s="185"/>
    </row>
    <row r="432" spans="2:2" ht="15.75" customHeight="1" x14ac:dyDescent="0.2">
      <c r="B432" s="185"/>
    </row>
    <row r="433" spans="2:2" ht="15.75" customHeight="1" x14ac:dyDescent="0.2">
      <c r="B433" s="185"/>
    </row>
    <row r="434" spans="2:2" ht="15.75" customHeight="1" x14ac:dyDescent="0.2">
      <c r="B434" s="185"/>
    </row>
    <row r="435" spans="2:2" ht="15.75" customHeight="1" x14ac:dyDescent="0.2">
      <c r="B435" s="185"/>
    </row>
    <row r="436" spans="2:2" ht="15.75" customHeight="1" x14ac:dyDescent="0.2">
      <c r="B436" s="185"/>
    </row>
    <row r="437" spans="2:2" ht="15.75" customHeight="1" x14ac:dyDescent="0.2">
      <c r="B437" s="185"/>
    </row>
    <row r="438" spans="2:2" ht="15.75" customHeight="1" x14ac:dyDescent="0.2">
      <c r="B438" s="185"/>
    </row>
    <row r="439" spans="2:2" ht="15.75" customHeight="1" x14ac:dyDescent="0.2">
      <c r="B439" s="185"/>
    </row>
    <row r="440" spans="2:2" ht="15.75" customHeight="1" x14ac:dyDescent="0.2">
      <c r="B440" s="185"/>
    </row>
    <row r="441" spans="2:2" ht="15.75" customHeight="1" x14ac:dyDescent="0.2">
      <c r="B441" s="185"/>
    </row>
    <row r="442" spans="2:2" ht="15.75" customHeight="1" x14ac:dyDescent="0.2">
      <c r="B442" s="185"/>
    </row>
    <row r="443" spans="2:2" ht="15.75" customHeight="1" x14ac:dyDescent="0.2">
      <c r="B443" s="185"/>
    </row>
    <row r="444" spans="2:2" ht="15.75" customHeight="1" x14ac:dyDescent="0.2">
      <c r="B444" s="185"/>
    </row>
    <row r="445" spans="2:2" ht="15.75" customHeight="1" x14ac:dyDescent="0.2">
      <c r="B445" s="185"/>
    </row>
    <row r="446" spans="2:2" ht="15.75" customHeight="1" x14ac:dyDescent="0.2">
      <c r="B446" s="185"/>
    </row>
    <row r="447" spans="2:2" ht="15.75" customHeight="1" x14ac:dyDescent="0.2">
      <c r="B447" s="185"/>
    </row>
    <row r="448" spans="2:2" ht="15.75" customHeight="1" x14ac:dyDescent="0.2">
      <c r="B448" s="185"/>
    </row>
    <row r="449" spans="2:2" ht="15.75" customHeight="1" x14ac:dyDescent="0.2">
      <c r="B449" s="185"/>
    </row>
    <row r="450" spans="2:2" ht="15.75" customHeight="1" x14ac:dyDescent="0.2">
      <c r="B450" s="185"/>
    </row>
    <row r="451" spans="2:2" ht="15.75" customHeight="1" x14ac:dyDescent="0.2">
      <c r="B451" s="185"/>
    </row>
    <row r="452" spans="2:2" ht="15.75" customHeight="1" x14ac:dyDescent="0.2">
      <c r="B452" s="185"/>
    </row>
    <row r="453" spans="2:2" ht="15.75" customHeight="1" x14ac:dyDescent="0.2">
      <c r="B453" s="185"/>
    </row>
    <row r="454" spans="2:2" ht="15.75" customHeight="1" x14ac:dyDescent="0.2">
      <c r="B454" s="185"/>
    </row>
    <row r="455" spans="2:2" ht="15.75" customHeight="1" x14ac:dyDescent="0.2">
      <c r="B455" s="185"/>
    </row>
    <row r="456" spans="2:2" ht="15.75" customHeight="1" x14ac:dyDescent="0.2">
      <c r="B456" s="185"/>
    </row>
    <row r="457" spans="2:2" ht="15.75" customHeight="1" x14ac:dyDescent="0.2">
      <c r="B457" s="185"/>
    </row>
    <row r="458" spans="2:2" ht="15.75" customHeight="1" x14ac:dyDescent="0.2">
      <c r="B458" s="185"/>
    </row>
    <row r="459" spans="2:2" ht="15.75" customHeight="1" x14ac:dyDescent="0.2">
      <c r="B459" s="185"/>
    </row>
    <row r="460" spans="2:2" ht="15.75" customHeight="1" x14ac:dyDescent="0.2">
      <c r="B460" s="185"/>
    </row>
    <row r="461" spans="2:2" ht="15.75" customHeight="1" x14ac:dyDescent="0.2">
      <c r="B461" s="185"/>
    </row>
    <row r="462" spans="2:2" ht="15.75" customHeight="1" x14ac:dyDescent="0.2">
      <c r="B462" s="185"/>
    </row>
    <row r="463" spans="2:2" ht="15.75" customHeight="1" x14ac:dyDescent="0.2">
      <c r="B463" s="185"/>
    </row>
    <row r="464" spans="2:2" ht="15.75" customHeight="1" x14ac:dyDescent="0.2">
      <c r="B464" s="185"/>
    </row>
    <row r="465" spans="2:2" ht="15.75" customHeight="1" x14ac:dyDescent="0.2">
      <c r="B465" s="185"/>
    </row>
    <row r="466" spans="2:2" ht="15.75" customHeight="1" x14ac:dyDescent="0.2">
      <c r="B466" s="185"/>
    </row>
    <row r="467" spans="2:2" ht="15.75" customHeight="1" x14ac:dyDescent="0.2">
      <c r="B467" s="185"/>
    </row>
    <row r="468" spans="2:2" ht="15.75" customHeight="1" x14ac:dyDescent="0.2">
      <c r="B468" s="185"/>
    </row>
    <row r="469" spans="2:2" ht="15.75" customHeight="1" x14ac:dyDescent="0.2">
      <c r="B469" s="185"/>
    </row>
    <row r="470" spans="2:2" ht="15.75" customHeight="1" x14ac:dyDescent="0.2">
      <c r="B470" s="185"/>
    </row>
    <row r="471" spans="2:2" ht="15.75" customHeight="1" x14ac:dyDescent="0.2">
      <c r="B471" s="185"/>
    </row>
    <row r="472" spans="2:2" ht="15.75" customHeight="1" x14ac:dyDescent="0.2">
      <c r="B472" s="185"/>
    </row>
    <row r="473" spans="2:2" ht="15.75" customHeight="1" x14ac:dyDescent="0.2">
      <c r="B473" s="185"/>
    </row>
    <row r="474" spans="2:2" ht="15.75" customHeight="1" x14ac:dyDescent="0.2">
      <c r="B474" s="185"/>
    </row>
    <row r="475" spans="2:2" ht="15.75" customHeight="1" x14ac:dyDescent="0.2">
      <c r="B475" s="185"/>
    </row>
    <row r="476" spans="2:2" ht="15.75" customHeight="1" x14ac:dyDescent="0.2">
      <c r="B476" s="185"/>
    </row>
    <row r="477" spans="2:2" ht="15.75" customHeight="1" x14ac:dyDescent="0.2">
      <c r="B477" s="185"/>
    </row>
    <row r="478" spans="2:2" ht="15.75" customHeight="1" x14ac:dyDescent="0.2">
      <c r="B478" s="185"/>
    </row>
    <row r="479" spans="2:2" ht="15.75" customHeight="1" x14ac:dyDescent="0.2">
      <c r="B479" s="185"/>
    </row>
    <row r="480" spans="2:2" ht="15.75" customHeight="1" x14ac:dyDescent="0.2">
      <c r="B480" s="185"/>
    </row>
    <row r="481" spans="2:2" ht="15.75" customHeight="1" x14ac:dyDescent="0.2">
      <c r="B481" s="185"/>
    </row>
    <row r="482" spans="2:2" ht="15.75" customHeight="1" x14ac:dyDescent="0.2">
      <c r="B482" s="185"/>
    </row>
    <row r="483" spans="2:2" ht="15.75" customHeight="1" x14ac:dyDescent="0.2">
      <c r="B483" s="185"/>
    </row>
    <row r="484" spans="2:2" ht="15.75" customHeight="1" x14ac:dyDescent="0.2">
      <c r="B484" s="185"/>
    </row>
    <row r="485" spans="2:2" ht="15.75" customHeight="1" x14ac:dyDescent="0.2">
      <c r="B485" s="185"/>
    </row>
    <row r="486" spans="2:2" ht="15.75" customHeight="1" x14ac:dyDescent="0.2">
      <c r="B486" s="185"/>
    </row>
    <row r="487" spans="2:2" ht="15.75" customHeight="1" x14ac:dyDescent="0.2">
      <c r="B487" s="185"/>
    </row>
    <row r="488" spans="2:2" ht="15.75" customHeight="1" x14ac:dyDescent="0.2">
      <c r="B488" s="185"/>
    </row>
    <row r="489" spans="2:2" ht="15.75" customHeight="1" x14ac:dyDescent="0.2">
      <c r="B489" s="185"/>
    </row>
    <row r="490" spans="2:2" ht="15.75" customHeight="1" x14ac:dyDescent="0.2">
      <c r="B490" s="185"/>
    </row>
    <row r="491" spans="2:2" ht="15.75" customHeight="1" x14ac:dyDescent="0.2">
      <c r="B491" s="185"/>
    </row>
    <row r="492" spans="2:2" ht="15.75" customHeight="1" x14ac:dyDescent="0.2">
      <c r="B492" s="185"/>
    </row>
    <row r="493" spans="2:2" ht="15.75" customHeight="1" x14ac:dyDescent="0.2">
      <c r="B493" s="185"/>
    </row>
    <row r="494" spans="2:2" ht="15.75" customHeight="1" x14ac:dyDescent="0.2">
      <c r="B494" s="185"/>
    </row>
    <row r="495" spans="2:2" ht="15.75" customHeight="1" x14ac:dyDescent="0.2">
      <c r="B495" s="185"/>
    </row>
    <row r="496" spans="2:2" ht="15.75" customHeight="1" x14ac:dyDescent="0.2">
      <c r="B496" s="185"/>
    </row>
    <row r="497" spans="2:2" ht="15.75" customHeight="1" x14ac:dyDescent="0.2">
      <c r="B497" s="185"/>
    </row>
    <row r="498" spans="2:2" ht="15.75" customHeight="1" x14ac:dyDescent="0.2">
      <c r="B498" s="185"/>
    </row>
    <row r="499" spans="2:2" ht="15.75" customHeight="1" x14ac:dyDescent="0.2">
      <c r="B499" s="185"/>
    </row>
    <row r="500" spans="2:2" ht="15.75" customHeight="1" x14ac:dyDescent="0.2">
      <c r="B500" s="185"/>
    </row>
    <row r="501" spans="2:2" ht="15.75" customHeight="1" x14ac:dyDescent="0.2">
      <c r="B501" s="185"/>
    </row>
    <row r="502" spans="2:2" ht="15.75" customHeight="1" x14ac:dyDescent="0.2">
      <c r="B502" s="185"/>
    </row>
    <row r="503" spans="2:2" ht="15.75" customHeight="1" x14ac:dyDescent="0.2">
      <c r="B503" s="185"/>
    </row>
    <row r="504" spans="2:2" ht="15.75" customHeight="1" x14ac:dyDescent="0.2">
      <c r="B504" s="185"/>
    </row>
    <row r="505" spans="2:2" ht="15.75" customHeight="1" x14ac:dyDescent="0.2">
      <c r="B505" s="185"/>
    </row>
    <row r="506" spans="2:2" ht="15.75" customHeight="1" x14ac:dyDescent="0.2">
      <c r="B506" s="185"/>
    </row>
    <row r="507" spans="2:2" ht="15.75" customHeight="1" x14ac:dyDescent="0.2">
      <c r="B507" s="185"/>
    </row>
    <row r="508" spans="2:2" ht="15.75" customHeight="1" x14ac:dyDescent="0.2">
      <c r="B508" s="185"/>
    </row>
    <row r="509" spans="2:2" ht="15.75" customHeight="1" x14ac:dyDescent="0.2">
      <c r="B509" s="185"/>
    </row>
    <row r="510" spans="2:2" ht="15.75" customHeight="1" x14ac:dyDescent="0.2">
      <c r="B510" s="185"/>
    </row>
    <row r="511" spans="2:2" ht="15.75" customHeight="1" x14ac:dyDescent="0.2">
      <c r="B511" s="185"/>
    </row>
    <row r="512" spans="2:2" ht="15.75" customHeight="1" x14ac:dyDescent="0.2">
      <c r="B512" s="185"/>
    </row>
    <row r="513" spans="2:2" ht="15.75" customHeight="1" x14ac:dyDescent="0.2">
      <c r="B513" s="185"/>
    </row>
    <row r="514" spans="2:2" ht="15.75" customHeight="1" x14ac:dyDescent="0.2">
      <c r="B514" s="185"/>
    </row>
    <row r="515" spans="2:2" ht="15.75" customHeight="1" x14ac:dyDescent="0.2">
      <c r="B515" s="185"/>
    </row>
    <row r="516" spans="2:2" ht="15.75" customHeight="1" x14ac:dyDescent="0.2">
      <c r="B516" s="185"/>
    </row>
    <row r="517" spans="2:2" ht="15.75" customHeight="1" x14ac:dyDescent="0.2">
      <c r="B517" s="185"/>
    </row>
    <row r="518" spans="2:2" ht="15.75" customHeight="1" x14ac:dyDescent="0.2">
      <c r="B518" s="185"/>
    </row>
    <row r="519" spans="2:2" ht="15.75" customHeight="1" x14ac:dyDescent="0.2">
      <c r="B519" s="185"/>
    </row>
    <row r="520" spans="2:2" ht="15.75" customHeight="1" x14ac:dyDescent="0.2">
      <c r="B520" s="185"/>
    </row>
    <row r="521" spans="2:2" ht="15.75" customHeight="1" x14ac:dyDescent="0.2">
      <c r="B521" s="185"/>
    </row>
    <row r="522" spans="2:2" ht="15.75" customHeight="1" x14ac:dyDescent="0.2">
      <c r="B522" s="185"/>
    </row>
    <row r="523" spans="2:2" ht="15.75" customHeight="1" x14ac:dyDescent="0.2">
      <c r="B523" s="185"/>
    </row>
    <row r="524" spans="2:2" ht="15.75" customHeight="1" x14ac:dyDescent="0.2">
      <c r="B524" s="185"/>
    </row>
    <row r="525" spans="2:2" ht="15.75" customHeight="1" x14ac:dyDescent="0.2">
      <c r="B525" s="185"/>
    </row>
    <row r="526" spans="2:2" ht="15.75" customHeight="1" x14ac:dyDescent="0.2">
      <c r="B526" s="185"/>
    </row>
    <row r="527" spans="2:2" ht="15.75" customHeight="1" x14ac:dyDescent="0.2">
      <c r="B527" s="185"/>
    </row>
    <row r="528" spans="2:2" ht="15.75" customHeight="1" x14ac:dyDescent="0.2">
      <c r="B528" s="185"/>
    </row>
    <row r="529" spans="2:2" ht="15.75" customHeight="1" x14ac:dyDescent="0.2">
      <c r="B529" s="185"/>
    </row>
    <row r="530" spans="2:2" ht="15.75" customHeight="1" x14ac:dyDescent="0.2">
      <c r="B530" s="185"/>
    </row>
    <row r="531" spans="2:2" ht="15.75" customHeight="1" x14ac:dyDescent="0.2">
      <c r="B531" s="185"/>
    </row>
    <row r="532" spans="2:2" ht="15.75" customHeight="1" x14ac:dyDescent="0.2">
      <c r="B532" s="185"/>
    </row>
    <row r="533" spans="2:2" ht="15.75" customHeight="1" x14ac:dyDescent="0.2">
      <c r="B533" s="185"/>
    </row>
    <row r="534" spans="2:2" ht="15.75" customHeight="1" x14ac:dyDescent="0.2">
      <c r="B534" s="185"/>
    </row>
    <row r="535" spans="2:2" ht="15.75" customHeight="1" x14ac:dyDescent="0.2">
      <c r="B535" s="185"/>
    </row>
    <row r="536" spans="2:2" ht="15.75" customHeight="1" x14ac:dyDescent="0.2">
      <c r="B536" s="185"/>
    </row>
    <row r="537" spans="2:2" ht="15.75" customHeight="1" x14ac:dyDescent="0.2">
      <c r="B537" s="185"/>
    </row>
    <row r="538" spans="2:2" ht="15.75" customHeight="1" x14ac:dyDescent="0.2">
      <c r="B538" s="185"/>
    </row>
    <row r="539" spans="2:2" ht="15.75" customHeight="1" x14ac:dyDescent="0.2">
      <c r="B539" s="185"/>
    </row>
    <row r="540" spans="2:2" ht="15.75" customHeight="1" x14ac:dyDescent="0.2">
      <c r="B540" s="185"/>
    </row>
    <row r="541" spans="2:2" ht="15.75" customHeight="1" x14ac:dyDescent="0.2">
      <c r="B541" s="185"/>
    </row>
    <row r="542" spans="2:2" ht="15.75" customHeight="1" x14ac:dyDescent="0.2">
      <c r="B542" s="185"/>
    </row>
    <row r="543" spans="2:2" ht="15.75" customHeight="1" x14ac:dyDescent="0.2">
      <c r="B543" s="185"/>
    </row>
    <row r="544" spans="2:2" ht="15.75" customHeight="1" x14ac:dyDescent="0.2">
      <c r="B544" s="185"/>
    </row>
    <row r="545" spans="2:2" ht="15.75" customHeight="1" x14ac:dyDescent="0.2">
      <c r="B545" s="185"/>
    </row>
    <row r="546" spans="2:2" ht="15.75" customHeight="1" x14ac:dyDescent="0.2">
      <c r="B546" s="185"/>
    </row>
    <row r="547" spans="2:2" ht="15.75" customHeight="1" x14ac:dyDescent="0.2">
      <c r="B547" s="185"/>
    </row>
    <row r="548" spans="2:2" ht="15.75" customHeight="1" x14ac:dyDescent="0.2">
      <c r="B548" s="185"/>
    </row>
    <row r="549" spans="2:2" ht="15.75" customHeight="1" x14ac:dyDescent="0.2">
      <c r="B549" s="185"/>
    </row>
    <row r="550" spans="2:2" ht="15.75" customHeight="1" x14ac:dyDescent="0.2">
      <c r="B550" s="185"/>
    </row>
    <row r="551" spans="2:2" ht="15.75" customHeight="1" x14ac:dyDescent="0.2">
      <c r="B551" s="185"/>
    </row>
    <row r="552" spans="2:2" ht="15.75" customHeight="1" x14ac:dyDescent="0.2">
      <c r="B552" s="185"/>
    </row>
    <row r="553" spans="2:2" ht="15.75" customHeight="1" x14ac:dyDescent="0.2">
      <c r="B553" s="185"/>
    </row>
    <row r="554" spans="2:2" ht="15.75" customHeight="1" x14ac:dyDescent="0.2">
      <c r="B554" s="185"/>
    </row>
    <row r="555" spans="2:2" ht="15.75" customHeight="1" x14ac:dyDescent="0.2">
      <c r="B555" s="185"/>
    </row>
    <row r="556" spans="2:2" ht="15.75" customHeight="1" x14ac:dyDescent="0.2">
      <c r="B556" s="185"/>
    </row>
    <row r="557" spans="2:2" ht="15.75" customHeight="1" x14ac:dyDescent="0.2">
      <c r="B557" s="185"/>
    </row>
    <row r="558" spans="2:2" ht="15.75" customHeight="1" x14ac:dyDescent="0.2">
      <c r="B558" s="185"/>
    </row>
    <row r="559" spans="2:2" ht="15.75" customHeight="1" x14ac:dyDescent="0.2">
      <c r="B559" s="185"/>
    </row>
    <row r="560" spans="2:2" ht="15.75" customHeight="1" x14ac:dyDescent="0.2">
      <c r="B560" s="185"/>
    </row>
    <row r="561" spans="2:2" ht="15.75" customHeight="1" x14ac:dyDescent="0.2">
      <c r="B561" s="185"/>
    </row>
    <row r="562" spans="2:2" ht="15.75" customHeight="1" x14ac:dyDescent="0.2">
      <c r="B562" s="185"/>
    </row>
    <row r="563" spans="2:2" ht="15.75" customHeight="1" x14ac:dyDescent="0.2">
      <c r="B563" s="185"/>
    </row>
    <row r="564" spans="2:2" ht="15.75" customHeight="1" x14ac:dyDescent="0.2">
      <c r="B564" s="185"/>
    </row>
    <row r="565" spans="2:2" ht="15.75" customHeight="1" x14ac:dyDescent="0.2">
      <c r="B565" s="185"/>
    </row>
    <row r="566" spans="2:2" ht="15.75" customHeight="1" x14ac:dyDescent="0.2">
      <c r="B566" s="185"/>
    </row>
    <row r="567" spans="2:2" ht="15.75" customHeight="1" x14ac:dyDescent="0.2">
      <c r="B567" s="185"/>
    </row>
    <row r="568" spans="2:2" ht="15.75" customHeight="1" x14ac:dyDescent="0.2">
      <c r="B568" s="185"/>
    </row>
    <row r="569" spans="2:2" ht="15.75" customHeight="1" x14ac:dyDescent="0.2">
      <c r="B569" s="185"/>
    </row>
    <row r="570" spans="2:2" ht="15.75" customHeight="1" x14ac:dyDescent="0.2">
      <c r="B570" s="185"/>
    </row>
    <row r="571" spans="2:2" ht="15.75" customHeight="1" x14ac:dyDescent="0.2">
      <c r="B571" s="185"/>
    </row>
    <row r="572" spans="2:2" ht="15.75" customHeight="1" x14ac:dyDescent="0.2">
      <c r="B572" s="185"/>
    </row>
    <row r="573" spans="2:2" ht="15.75" customHeight="1" x14ac:dyDescent="0.2">
      <c r="B573" s="185"/>
    </row>
    <row r="574" spans="2:2" ht="15.75" customHeight="1" x14ac:dyDescent="0.2">
      <c r="B574" s="185"/>
    </row>
    <row r="575" spans="2:2" ht="15.75" customHeight="1" x14ac:dyDescent="0.2">
      <c r="B575" s="185"/>
    </row>
    <row r="576" spans="2:2" ht="15.75" customHeight="1" x14ac:dyDescent="0.2">
      <c r="B576" s="185"/>
    </row>
    <row r="577" spans="2:2" ht="15.75" customHeight="1" x14ac:dyDescent="0.2">
      <c r="B577" s="185"/>
    </row>
    <row r="578" spans="2:2" ht="15.75" customHeight="1" x14ac:dyDescent="0.2">
      <c r="B578" s="185"/>
    </row>
    <row r="579" spans="2:2" ht="15.75" customHeight="1" x14ac:dyDescent="0.2">
      <c r="B579" s="185"/>
    </row>
    <row r="580" spans="2:2" ht="15.75" customHeight="1" x14ac:dyDescent="0.2">
      <c r="B580" s="185"/>
    </row>
    <row r="581" spans="2:2" ht="15.75" customHeight="1" x14ac:dyDescent="0.2">
      <c r="B581" s="185"/>
    </row>
    <row r="582" spans="2:2" ht="15.75" customHeight="1" x14ac:dyDescent="0.2">
      <c r="B582" s="185"/>
    </row>
    <row r="583" spans="2:2" ht="15.75" customHeight="1" x14ac:dyDescent="0.2">
      <c r="B583" s="185"/>
    </row>
    <row r="584" spans="2:2" ht="15.75" customHeight="1" x14ac:dyDescent="0.2">
      <c r="B584" s="185"/>
    </row>
    <row r="585" spans="2:2" ht="15.75" customHeight="1" x14ac:dyDescent="0.2">
      <c r="B585" s="185"/>
    </row>
    <row r="586" spans="2:2" ht="15.75" customHeight="1" x14ac:dyDescent="0.2">
      <c r="B586" s="185"/>
    </row>
    <row r="587" spans="2:2" ht="15.75" customHeight="1" x14ac:dyDescent="0.2">
      <c r="B587" s="185"/>
    </row>
    <row r="588" spans="2:2" ht="15.75" customHeight="1" x14ac:dyDescent="0.2">
      <c r="B588" s="185"/>
    </row>
    <row r="589" spans="2:2" ht="15.75" customHeight="1" x14ac:dyDescent="0.2">
      <c r="B589" s="185"/>
    </row>
    <row r="590" spans="2:2" ht="15.75" customHeight="1" x14ac:dyDescent="0.2">
      <c r="B590" s="185"/>
    </row>
    <row r="591" spans="2:2" ht="15.75" customHeight="1" x14ac:dyDescent="0.2">
      <c r="B591" s="185"/>
    </row>
    <row r="592" spans="2:2" ht="15.75" customHeight="1" x14ac:dyDescent="0.2">
      <c r="B592" s="185"/>
    </row>
    <row r="593" spans="2:2" ht="15.75" customHeight="1" x14ac:dyDescent="0.2">
      <c r="B593" s="185"/>
    </row>
    <row r="594" spans="2:2" ht="15.75" customHeight="1" x14ac:dyDescent="0.2">
      <c r="B594" s="185"/>
    </row>
    <row r="595" spans="2:2" ht="15.75" customHeight="1" x14ac:dyDescent="0.2">
      <c r="B595" s="185"/>
    </row>
    <row r="596" spans="2:2" ht="15.75" customHeight="1" x14ac:dyDescent="0.2">
      <c r="B596" s="185"/>
    </row>
    <row r="597" spans="2:2" ht="15.75" customHeight="1" x14ac:dyDescent="0.2">
      <c r="B597" s="185"/>
    </row>
    <row r="598" spans="2:2" ht="15.75" customHeight="1" x14ac:dyDescent="0.2">
      <c r="B598" s="185"/>
    </row>
    <row r="599" spans="2:2" ht="15.75" customHeight="1" x14ac:dyDescent="0.2">
      <c r="B599" s="185"/>
    </row>
    <row r="600" spans="2:2" ht="15.75" customHeight="1" x14ac:dyDescent="0.2">
      <c r="B600" s="185"/>
    </row>
    <row r="601" spans="2:2" ht="15.75" customHeight="1" x14ac:dyDescent="0.2">
      <c r="B601" s="185"/>
    </row>
    <row r="602" spans="2:2" ht="15.75" customHeight="1" x14ac:dyDescent="0.2">
      <c r="B602" s="185"/>
    </row>
    <row r="603" spans="2:2" ht="15.75" customHeight="1" x14ac:dyDescent="0.2">
      <c r="B603" s="185"/>
    </row>
    <row r="604" spans="2:2" ht="15.75" customHeight="1" x14ac:dyDescent="0.2">
      <c r="B604" s="185"/>
    </row>
    <row r="605" spans="2:2" ht="15.75" customHeight="1" x14ac:dyDescent="0.2">
      <c r="B605" s="185"/>
    </row>
    <row r="606" spans="2:2" ht="15.75" customHeight="1" x14ac:dyDescent="0.2">
      <c r="B606" s="185"/>
    </row>
    <row r="607" spans="2:2" ht="15.75" customHeight="1" x14ac:dyDescent="0.2">
      <c r="B607" s="185"/>
    </row>
    <row r="608" spans="2:2" ht="15.75" customHeight="1" x14ac:dyDescent="0.2">
      <c r="B608" s="185"/>
    </row>
    <row r="609" spans="2:2" ht="15.75" customHeight="1" x14ac:dyDescent="0.2">
      <c r="B609" s="185"/>
    </row>
    <row r="610" spans="2:2" ht="15.75" customHeight="1" x14ac:dyDescent="0.2">
      <c r="B610" s="185"/>
    </row>
    <row r="611" spans="2:2" ht="15.75" customHeight="1" x14ac:dyDescent="0.2">
      <c r="B611" s="185"/>
    </row>
    <row r="612" spans="2:2" ht="15.75" customHeight="1" x14ac:dyDescent="0.2">
      <c r="B612" s="185"/>
    </row>
    <row r="613" spans="2:2" ht="15.75" customHeight="1" x14ac:dyDescent="0.2">
      <c r="B613" s="185"/>
    </row>
    <row r="614" spans="2:2" ht="15.75" customHeight="1" x14ac:dyDescent="0.2">
      <c r="B614" s="185"/>
    </row>
    <row r="615" spans="2:2" ht="15.75" customHeight="1" x14ac:dyDescent="0.2">
      <c r="B615" s="185"/>
    </row>
    <row r="616" spans="2:2" ht="15.75" customHeight="1" x14ac:dyDescent="0.2">
      <c r="B616" s="185"/>
    </row>
    <row r="617" spans="2:2" ht="15.75" customHeight="1" x14ac:dyDescent="0.2">
      <c r="B617" s="185"/>
    </row>
    <row r="618" spans="2:2" ht="15.75" customHeight="1" x14ac:dyDescent="0.2">
      <c r="B618" s="185"/>
    </row>
    <row r="619" spans="2:2" ht="15.75" customHeight="1" x14ac:dyDescent="0.2">
      <c r="B619" s="185"/>
    </row>
    <row r="620" spans="2:2" ht="15.75" customHeight="1" x14ac:dyDescent="0.2">
      <c r="B620" s="185"/>
    </row>
    <row r="621" spans="2:2" ht="15.75" customHeight="1" x14ac:dyDescent="0.2">
      <c r="B621" s="185"/>
    </row>
    <row r="622" spans="2:2" ht="15.75" customHeight="1" x14ac:dyDescent="0.2">
      <c r="B622" s="185"/>
    </row>
    <row r="623" spans="2:2" ht="15.75" customHeight="1" x14ac:dyDescent="0.2">
      <c r="B623" s="185"/>
    </row>
    <row r="624" spans="2:2" ht="15.75" customHeight="1" x14ac:dyDescent="0.2">
      <c r="B624" s="185"/>
    </row>
    <row r="625" spans="2:2" ht="15.75" customHeight="1" x14ac:dyDescent="0.2">
      <c r="B625" s="185"/>
    </row>
    <row r="626" spans="2:2" ht="15.75" customHeight="1" x14ac:dyDescent="0.2">
      <c r="B626" s="185"/>
    </row>
    <row r="627" spans="2:2" ht="15.75" customHeight="1" x14ac:dyDescent="0.2">
      <c r="B627" s="185"/>
    </row>
    <row r="628" spans="2:2" ht="15.75" customHeight="1" x14ac:dyDescent="0.2">
      <c r="B628" s="185"/>
    </row>
    <row r="629" spans="2:2" ht="15.75" customHeight="1" x14ac:dyDescent="0.2">
      <c r="B629" s="185"/>
    </row>
    <row r="630" spans="2:2" ht="15.75" customHeight="1" x14ac:dyDescent="0.2">
      <c r="B630" s="185"/>
    </row>
    <row r="631" spans="2:2" ht="15.75" customHeight="1" x14ac:dyDescent="0.2">
      <c r="B631" s="185"/>
    </row>
    <row r="632" spans="2:2" ht="15.75" customHeight="1" x14ac:dyDescent="0.2">
      <c r="B632" s="185"/>
    </row>
    <row r="633" spans="2:2" ht="15.75" customHeight="1" x14ac:dyDescent="0.2">
      <c r="B633" s="185"/>
    </row>
    <row r="634" spans="2:2" ht="15.75" customHeight="1" x14ac:dyDescent="0.2">
      <c r="B634" s="185"/>
    </row>
    <row r="635" spans="2:2" ht="15.75" customHeight="1" x14ac:dyDescent="0.2">
      <c r="B635" s="185"/>
    </row>
    <row r="636" spans="2:2" ht="15.75" customHeight="1" x14ac:dyDescent="0.2">
      <c r="B636" s="185"/>
    </row>
    <row r="637" spans="2:2" ht="15.75" customHeight="1" x14ac:dyDescent="0.2">
      <c r="B637" s="185"/>
    </row>
    <row r="638" spans="2:2" ht="15.75" customHeight="1" x14ac:dyDescent="0.2">
      <c r="B638" s="185"/>
    </row>
    <row r="639" spans="2:2" ht="15.75" customHeight="1" x14ac:dyDescent="0.2">
      <c r="B639" s="185"/>
    </row>
    <row r="640" spans="2:2" ht="15.75" customHeight="1" x14ac:dyDescent="0.2">
      <c r="B640" s="185"/>
    </row>
    <row r="641" spans="2:2" ht="15.75" customHeight="1" x14ac:dyDescent="0.2">
      <c r="B641" s="185"/>
    </row>
    <row r="642" spans="2:2" ht="15.75" customHeight="1" x14ac:dyDescent="0.2">
      <c r="B642" s="185"/>
    </row>
    <row r="643" spans="2:2" ht="15.75" customHeight="1" x14ac:dyDescent="0.2">
      <c r="B643" s="185"/>
    </row>
    <row r="644" spans="2:2" ht="15.75" customHeight="1" x14ac:dyDescent="0.2">
      <c r="B644" s="185"/>
    </row>
    <row r="645" spans="2:2" ht="15.75" customHeight="1" x14ac:dyDescent="0.2">
      <c r="B645" s="185"/>
    </row>
    <row r="646" spans="2:2" ht="15.75" customHeight="1" x14ac:dyDescent="0.2">
      <c r="B646" s="185"/>
    </row>
    <row r="647" spans="2:2" ht="15.75" customHeight="1" x14ac:dyDescent="0.2">
      <c r="B647" s="185"/>
    </row>
    <row r="648" spans="2:2" ht="15.75" customHeight="1" x14ac:dyDescent="0.2">
      <c r="B648" s="185"/>
    </row>
    <row r="649" spans="2:2" ht="15.75" customHeight="1" x14ac:dyDescent="0.2">
      <c r="B649" s="185"/>
    </row>
    <row r="650" spans="2:2" ht="15.75" customHeight="1" x14ac:dyDescent="0.2">
      <c r="B650" s="185"/>
    </row>
    <row r="651" spans="2:2" ht="15.75" customHeight="1" x14ac:dyDescent="0.2">
      <c r="B651" s="185"/>
    </row>
    <row r="652" spans="2:2" ht="15.75" customHeight="1" x14ac:dyDescent="0.2">
      <c r="B652" s="185"/>
    </row>
    <row r="653" spans="2:2" ht="15.75" customHeight="1" x14ac:dyDescent="0.2">
      <c r="B653" s="185"/>
    </row>
    <row r="654" spans="2:2" ht="15.75" customHeight="1" x14ac:dyDescent="0.2">
      <c r="B654" s="185"/>
    </row>
    <row r="655" spans="2:2" ht="15.75" customHeight="1" x14ac:dyDescent="0.2">
      <c r="B655" s="185"/>
    </row>
    <row r="656" spans="2:2" ht="15.75" customHeight="1" x14ac:dyDescent="0.2">
      <c r="B656" s="185"/>
    </row>
    <row r="657" spans="2:2" ht="15.75" customHeight="1" x14ac:dyDescent="0.2">
      <c r="B657" s="185"/>
    </row>
    <row r="658" spans="2:2" ht="15.75" customHeight="1" x14ac:dyDescent="0.2">
      <c r="B658" s="185"/>
    </row>
    <row r="659" spans="2:2" ht="15.75" customHeight="1" x14ac:dyDescent="0.2">
      <c r="B659" s="185"/>
    </row>
    <row r="660" spans="2:2" ht="15.75" customHeight="1" x14ac:dyDescent="0.2">
      <c r="B660" s="185"/>
    </row>
    <row r="661" spans="2:2" ht="15.75" customHeight="1" x14ac:dyDescent="0.2">
      <c r="B661" s="185"/>
    </row>
    <row r="662" spans="2:2" ht="15.75" customHeight="1" x14ac:dyDescent="0.2">
      <c r="B662" s="185"/>
    </row>
    <row r="663" spans="2:2" ht="15.75" customHeight="1" x14ac:dyDescent="0.2">
      <c r="B663" s="185"/>
    </row>
    <row r="664" spans="2:2" ht="15.75" customHeight="1" x14ac:dyDescent="0.2">
      <c r="B664" s="185"/>
    </row>
    <row r="665" spans="2:2" ht="15.75" customHeight="1" x14ac:dyDescent="0.2">
      <c r="B665" s="185"/>
    </row>
    <row r="666" spans="2:2" ht="15.75" customHeight="1" x14ac:dyDescent="0.2">
      <c r="B666" s="185"/>
    </row>
    <row r="667" spans="2:2" ht="15.75" customHeight="1" x14ac:dyDescent="0.2">
      <c r="B667" s="185"/>
    </row>
    <row r="668" spans="2:2" ht="15.75" customHeight="1" x14ac:dyDescent="0.2">
      <c r="B668" s="185"/>
    </row>
    <row r="669" spans="2:2" ht="15.75" customHeight="1" x14ac:dyDescent="0.2">
      <c r="B669" s="185"/>
    </row>
    <row r="670" spans="2:2" ht="15.75" customHeight="1" x14ac:dyDescent="0.2">
      <c r="B670" s="185"/>
    </row>
    <row r="671" spans="2:2" ht="15.75" customHeight="1" x14ac:dyDescent="0.2">
      <c r="B671" s="185"/>
    </row>
    <row r="672" spans="2:2" ht="15.75" customHeight="1" x14ac:dyDescent="0.2">
      <c r="B672" s="185"/>
    </row>
    <row r="673" spans="2:2" ht="15.75" customHeight="1" x14ac:dyDescent="0.2">
      <c r="B673" s="185"/>
    </row>
    <row r="674" spans="2:2" ht="15.75" customHeight="1" x14ac:dyDescent="0.2">
      <c r="B674" s="185"/>
    </row>
    <row r="675" spans="2:2" ht="15.75" customHeight="1" x14ac:dyDescent="0.2">
      <c r="B675" s="185"/>
    </row>
    <row r="676" spans="2:2" ht="15.75" customHeight="1" x14ac:dyDescent="0.2">
      <c r="B676" s="185"/>
    </row>
    <row r="677" spans="2:2" ht="15.75" customHeight="1" x14ac:dyDescent="0.2">
      <c r="B677" s="185"/>
    </row>
    <row r="678" spans="2:2" ht="15.75" customHeight="1" x14ac:dyDescent="0.2">
      <c r="B678" s="185"/>
    </row>
    <row r="679" spans="2:2" ht="15.75" customHeight="1" x14ac:dyDescent="0.2">
      <c r="B679" s="185"/>
    </row>
    <row r="680" spans="2:2" ht="15.75" customHeight="1" x14ac:dyDescent="0.2">
      <c r="B680" s="185"/>
    </row>
    <row r="681" spans="2:2" ht="15.75" customHeight="1" x14ac:dyDescent="0.2">
      <c r="B681" s="185"/>
    </row>
    <row r="682" spans="2:2" ht="15.75" customHeight="1" x14ac:dyDescent="0.2">
      <c r="B682" s="185"/>
    </row>
    <row r="683" spans="2:2" ht="15.75" customHeight="1" x14ac:dyDescent="0.2">
      <c r="B683" s="185"/>
    </row>
    <row r="684" spans="2:2" ht="15.75" customHeight="1" x14ac:dyDescent="0.2">
      <c r="B684" s="185"/>
    </row>
    <row r="685" spans="2:2" ht="15.75" customHeight="1" x14ac:dyDescent="0.2">
      <c r="B685" s="185"/>
    </row>
    <row r="686" spans="2:2" ht="15.75" customHeight="1" x14ac:dyDescent="0.2">
      <c r="B686" s="185"/>
    </row>
    <row r="687" spans="2:2" ht="15.75" customHeight="1" x14ac:dyDescent="0.2">
      <c r="B687" s="185"/>
    </row>
    <row r="688" spans="2:2" ht="15.75" customHeight="1" x14ac:dyDescent="0.2">
      <c r="B688" s="185"/>
    </row>
    <row r="689" spans="2:2" ht="15.75" customHeight="1" x14ac:dyDescent="0.2">
      <c r="B689" s="185"/>
    </row>
    <row r="690" spans="2:2" ht="15.75" customHeight="1" x14ac:dyDescent="0.2">
      <c r="B690" s="185"/>
    </row>
    <row r="691" spans="2:2" ht="15.75" customHeight="1" x14ac:dyDescent="0.2">
      <c r="B691" s="185"/>
    </row>
    <row r="692" spans="2:2" ht="15.75" customHeight="1" x14ac:dyDescent="0.2">
      <c r="B692" s="185"/>
    </row>
    <row r="693" spans="2:2" ht="15.75" customHeight="1" x14ac:dyDescent="0.2">
      <c r="B693" s="185"/>
    </row>
    <row r="694" spans="2:2" ht="15.75" customHeight="1" x14ac:dyDescent="0.2">
      <c r="B694" s="185"/>
    </row>
    <row r="695" spans="2:2" ht="15.75" customHeight="1" x14ac:dyDescent="0.2">
      <c r="B695" s="185"/>
    </row>
    <row r="696" spans="2:2" ht="15.75" customHeight="1" x14ac:dyDescent="0.2">
      <c r="B696" s="185"/>
    </row>
    <row r="697" spans="2:2" ht="15.75" customHeight="1" x14ac:dyDescent="0.2">
      <c r="B697" s="185"/>
    </row>
    <row r="698" spans="2:2" ht="15.75" customHeight="1" x14ac:dyDescent="0.2">
      <c r="B698" s="185"/>
    </row>
    <row r="699" spans="2:2" ht="15.75" customHeight="1" x14ac:dyDescent="0.2">
      <c r="B699" s="185"/>
    </row>
    <row r="700" spans="2:2" ht="15.75" customHeight="1" x14ac:dyDescent="0.2">
      <c r="B700" s="185"/>
    </row>
    <row r="701" spans="2:2" ht="15.75" customHeight="1" x14ac:dyDescent="0.2">
      <c r="B701" s="185"/>
    </row>
    <row r="702" spans="2:2" ht="15.75" customHeight="1" x14ac:dyDescent="0.2">
      <c r="B702" s="185"/>
    </row>
    <row r="703" spans="2:2" ht="15.75" customHeight="1" x14ac:dyDescent="0.2">
      <c r="B703" s="185"/>
    </row>
    <row r="704" spans="2:2" ht="15.75" customHeight="1" x14ac:dyDescent="0.2">
      <c r="B704" s="185"/>
    </row>
    <row r="705" spans="2:2" ht="15.75" customHeight="1" x14ac:dyDescent="0.2">
      <c r="B705" s="185"/>
    </row>
    <row r="706" spans="2:2" ht="15.75" customHeight="1" x14ac:dyDescent="0.2">
      <c r="B706" s="185"/>
    </row>
    <row r="707" spans="2:2" ht="15.75" customHeight="1" x14ac:dyDescent="0.2">
      <c r="B707" s="185"/>
    </row>
    <row r="708" spans="2:2" ht="15.75" customHeight="1" x14ac:dyDescent="0.2">
      <c r="B708" s="185"/>
    </row>
    <row r="709" spans="2:2" ht="15.75" customHeight="1" x14ac:dyDescent="0.2">
      <c r="B709" s="185"/>
    </row>
    <row r="710" spans="2:2" ht="15.75" customHeight="1" x14ac:dyDescent="0.2">
      <c r="B710" s="185"/>
    </row>
    <row r="711" spans="2:2" ht="15.75" customHeight="1" x14ac:dyDescent="0.2">
      <c r="B711" s="185"/>
    </row>
    <row r="712" spans="2:2" ht="15.75" customHeight="1" x14ac:dyDescent="0.2">
      <c r="B712" s="185"/>
    </row>
    <row r="713" spans="2:2" ht="15.75" customHeight="1" x14ac:dyDescent="0.2">
      <c r="B713" s="185"/>
    </row>
    <row r="714" spans="2:2" ht="15.75" customHeight="1" x14ac:dyDescent="0.2">
      <c r="B714" s="185"/>
    </row>
    <row r="715" spans="2:2" ht="15.75" customHeight="1" x14ac:dyDescent="0.2">
      <c r="B715" s="185"/>
    </row>
    <row r="716" spans="2:2" ht="15.75" customHeight="1" x14ac:dyDescent="0.2">
      <c r="B716" s="185"/>
    </row>
    <row r="717" spans="2:2" ht="15.75" customHeight="1" x14ac:dyDescent="0.2">
      <c r="B717" s="185"/>
    </row>
    <row r="718" spans="2:2" ht="15.75" customHeight="1" x14ac:dyDescent="0.2">
      <c r="B718" s="185"/>
    </row>
    <row r="719" spans="2:2" ht="15.75" customHeight="1" x14ac:dyDescent="0.2">
      <c r="B719" s="185"/>
    </row>
    <row r="720" spans="2:2" ht="15.75" customHeight="1" x14ac:dyDescent="0.2">
      <c r="B720" s="185"/>
    </row>
    <row r="721" spans="2:2" ht="15.75" customHeight="1" x14ac:dyDescent="0.2">
      <c r="B721" s="185"/>
    </row>
    <row r="722" spans="2:2" ht="15.75" customHeight="1" x14ac:dyDescent="0.2">
      <c r="B722" s="185"/>
    </row>
    <row r="723" spans="2:2" ht="15.75" customHeight="1" x14ac:dyDescent="0.2">
      <c r="B723" s="185"/>
    </row>
    <row r="724" spans="2:2" ht="15.75" customHeight="1" x14ac:dyDescent="0.2">
      <c r="B724" s="185"/>
    </row>
    <row r="725" spans="2:2" ht="15.75" customHeight="1" x14ac:dyDescent="0.2">
      <c r="B725" s="185"/>
    </row>
    <row r="726" spans="2:2" ht="15.75" customHeight="1" x14ac:dyDescent="0.2">
      <c r="B726" s="185"/>
    </row>
    <row r="727" spans="2:2" ht="15.75" customHeight="1" x14ac:dyDescent="0.2">
      <c r="B727" s="185"/>
    </row>
    <row r="728" spans="2:2" ht="15.75" customHeight="1" x14ac:dyDescent="0.2">
      <c r="B728" s="185"/>
    </row>
    <row r="729" spans="2:2" ht="15.75" customHeight="1" x14ac:dyDescent="0.2">
      <c r="B729" s="185"/>
    </row>
    <row r="730" spans="2:2" ht="15.75" customHeight="1" x14ac:dyDescent="0.2">
      <c r="B730" s="185"/>
    </row>
    <row r="731" spans="2:2" ht="15.75" customHeight="1" x14ac:dyDescent="0.2">
      <c r="B731" s="185"/>
    </row>
    <row r="732" spans="2:2" ht="15.75" customHeight="1" x14ac:dyDescent="0.2">
      <c r="B732" s="185"/>
    </row>
    <row r="733" spans="2:2" ht="15.75" customHeight="1" x14ac:dyDescent="0.2">
      <c r="B733" s="185"/>
    </row>
    <row r="734" spans="2:2" ht="15.75" customHeight="1" x14ac:dyDescent="0.2">
      <c r="B734" s="185"/>
    </row>
    <row r="735" spans="2:2" ht="15.75" customHeight="1" x14ac:dyDescent="0.2">
      <c r="B735" s="185"/>
    </row>
    <row r="736" spans="2:2" ht="15.75" customHeight="1" x14ac:dyDescent="0.2">
      <c r="B736" s="185"/>
    </row>
    <row r="737" spans="2:2" ht="15.75" customHeight="1" x14ac:dyDescent="0.2">
      <c r="B737" s="185"/>
    </row>
    <row r="738" spans="2:2" ht="15.75" customHeight="1" x14ac:dyDescent="0.2">
      <c r="B738" s="185"/>
    </row>
    <row r="739" spans="2:2" ht="15.75" customHeight="1" x14ac:dyDescent="0.2">
      <c r="B739" s="185"/>
    </row>
    <row r="740" spans="2:2" ht="15.75" customHeight="1" x14ac:dyDescent="0.2">
      <c r="B740" s="185"/>
    </row>
    <row r="741" spans="2:2" ht="15.75" customHeight="1" x14ac:dyDescent="0.2">
      <c r="B741" s="185"/>
    </row>
    <row r="742" spans="2:2" ht="15.75" customHeight="1" x14ac:dyDescent="0.2">
      <c r="B742" s="185"/>
    </row>
    <row r="743" spans="2:2" ht="15.75" customHeight="1" x14ac:dyDescent="0.2">
      <c r="B743" s="185"/>
    </row>
    <row r="744" spans="2:2" ht="15.75" customHeight="1" x14ac:dyDescent="0.2">
      <c r="B744" s="185"/>
    </row>
    <row r="745" spans="2:2" ht="15.75" customHeight="1" x14ac:dyDescent="0.2">
      <c r="B745" s="185"/>
    </row>
    <row r="746" spans="2:2" ht="15.75" customHeight="1" x14ac:dyDescent="0.2">
      <c r="B746" s="185"/>
    </row>
    <row r="747" spans="2:2" ht="15.75" customHeight="1" x14ac:dyDescent="0.2">
      <c r="B747" s="185"/>
    </row>
    <row r="748" spans="2:2" ht="15.75" customHeight="1" x14ac:dyDescent="0.2">
      <c r="B748" s="185"/>
    </row>
    <row r="749" spans="2:2" ht="15.75" customHeight="1" x14ac:dyDescent="0.2">
      <c r="B749" s="185"/>
    </row>
    <row r="750" spans="2:2" ht="15.75" customHeight="1" x14ac:dyDescent="0.2">
      <c r="B750" s="185"/>
    </row>
    <row r="751" spans="2:2" ht="15.75" customHeight="1" x14ac:dyDescent="0.2">
      <c r="B751" s="185"/>
    </row>
    <row r="752" spans="2:2" ht="15.75" customHeight="1" x14ac:dyDescent="0.2">
      <c r="B752" s="185"/>
    </row>
    <row r="753" spans="2:2" ht="15.75" customHeight="1" x14ac:dyDescent="0.2">
      <c r="B753" s="185"/>
    </row>
    <row r="754" spans="2:2" ht="15.75" customHeight="1" x14ac:dyDescent="0.2">
      <c r="B754" s="185"/>
    </row>
    <row r="755" spans="2:2" ht="15.75" customHeight="1" x14ac:dyDescent="0.2">
      <c r="B755" s="185"/>
    </row>
    <row r="756" spans="2:2" ht="15.75" customHeight="1" x14ac:dyDescent="0.2">
      <c r="B756" s="185"/>
    </row>
    <row r="757" spans="2:2" ht="15.75" customHeight="1" x14ac:dyDescent="0.2">
      <c r="B757" s="185"/>
    </row>
    <row r="758" spans="2:2" ht="15.75" customHeight="1" x14ac:dyDescent="0.2">
      <c r="B758" s="185"/>
    </row>
    <row r="759" spans="2:2" ht="15.75" customHeight="1" x14ac:dyDescent="0.2">
      <c r="B759" s="185"/>
    </row>
    <row r="760" spans="2:2" ht="15.75" customHeight="1" x14ac:dyDescent="0.2">
      <c r="B760" s="185"/>
    </row>
    <row r="761" spans="2:2" ht="15.75" customHeight="1" x14ac:dyDescent="0.2">
      <c r="B761" s="185"/>
    </row>
    <row r="762" spans="2:2" ht="15.75" customHeight="1" x14ac:dyDescent="0.2">
      <c r="B762" s="185"/>
    </row>
    <row r="763" spans="2:2" ht="15.75" customHeight="1" x14ac:dyDescent="0.2">
      <c r="B763" s="185"/>
    </row>
    <row r="764" spans="2:2" ht="15.75" customHeight="1" x14ac:dyDescent="0.2">
      <c r="B764" s="185"/>
    </row>
    <row r="765" spans="2:2" ht="15.75" customHeight="1" x14ac:dyDescent="0.2">
      <c r="B765" s="185"/>
    </row>
    <row r="766" spans="2:2" ht="15.75" customHeight="1" x14ac:dyDescent="0.2">
      <c r="B766" s="185"/>
    </row>
    <row r="767" spans="2:2" ht="15.75" customHeight="1" x14ac:dyDescent="0.2">
      <c r="B767" s="185"/>
    </row>
    <row r="768" spans="2:2" ht="15.75" customHeight="1" x14ac:dyDescent="0.2">
      <c r="B768" s="185"/>
    </row>
    <row r="769" spans="2:2" ht="15.75" customHeight="1" x14ac:dyDescent="0.2">
      <c r="B769" s="185"/>
    </row>
    <row r="770" spans="2:2" ht="15.75" customHeight="1" x14ac:dyDescent="0.2">
      <c r="B770" s="185"/>
    </row>
    <row r="771" spans="2:2" ht="15.75" customHeight="1" x14ac:dyDescent="0.2">
      <c r="B771" s="185"/>
    </row>
    <row r="772" spans="2:2" ht="15.75" customHeight="1" x14ac:dyDescent="0.2">
      <c r="B772" s="185"/>
    </row>
    <row r="773" spans="2:2" ht="15.75" customHeight="1" x14ac:dyDescent="0.2">
      <c r="B773" s="185"/>
    </row>
    <row r="774" spans="2:2" ht="15.75" customHeight="1" x14ac:dyDescent="0.2">
      <c r="B774" s="185"/>
    </row>
    <row r="775" spans="2:2" ht="15.75" customHeight="1" x14ac:dyDescent="0.2">
      <c r="B775" s="185"/>
    </row>
    <row r="776" spans="2:2" ht="15.75" customHeight="1" x14ac:dyDescent="0.2">
      <c r="B776" s="185"/>
    </row>
    <row r="777" spans="2:2" ht="15.75" customHeight="1" x14ac:dyDescent="0.2">
      <c r="B777" s="185"/>
    </row>
    <row r="778" spans="2:2" ht="15.75" customHeight="1" x14ac:dyDescent="0.2">
      <c r="B778" s="185"/>
    </row>
    <row r="779" spans="2:2" ht="15.75" customHeight="1" x14ac:dyDescent="0.2">
      <c r="B779" s="185"/>
    </row>
    <row r="780" spans="2:2" ht="15.75" customHeight="1" x14ac:dyDescent="0.2">
      <c r="B780" s="185"/>
    </row>
    <row r="781" spans="2:2" ht="15.75" customHeight="1" x14ac:dyDescent="0.2">
      <c r="B781" s="185"/>
    </row>
    <row r="782" spans="2:2" ht="15.75" customHeight="1" x14ac:dyDescent="0.2">
      <c r="B782" s="185"/>
    </row>
    <row r="783" spans="2:2" ht="15.75" customHeight="1" x14ac:dyDescent="0.2">
      <c r="B783" s="185"/>
    </row>
    <row r="784" spans="2:2" ht="15.75" customHeight="1" x14ac:dyDescent="0.2">
      <c r="B784" s="185"/>
    </row>
    <row r="785" spans="2:2" ht="15.75" customHeight="1" x14ac:dyDescent="0.2">
      <c r="B785" s="185"/>
    </row>
    <row r="786" spans="2:2" ht="15.75" customHeight="1" x14ac:dyDescent="0.2">
      <c r="B786" s="185"/>
    </row>
    <row r="787" spans="2:2" ht="15.75" customHeight="1" x14ac:dyDescent="0.2">
      <c r="B787" s="185"/>
    </row>
    <row r="788" spans="2:2" ht="15.75" customHeight="1" x14ac:dyDescent="0.2">
      <c r="B788" s="185"/>
    </row>
    <row r="789" spans="2:2" ht="15.75" customHeight="1" x14ac:dyDescent="0.2">
      <c r="B789" s="185"/>
    </row>
    <row r="790" spans="2:2" ht="15.75" customHeight="1" x14ac:dyDescent="0.2">
      <c r="B790" s="185"/>
    </row>
    <row r="791" spans="2:2" ht="15.75" customHeight="1" x14ac:dyDescent="0.2">
      <c r="B791" s="185"/>
    </row>
    <row r="792" spans="2:2" ht="15.75" customHeight="1" x14ac:dyDescent="0.2">
      <c r="B792" s="185"/>
    </row>
    <row r="793" spans="2:2" ht="15.75" customHeight="1" x14ac:dyDescent="0.2">
      <c r="B793" s="185"/>
    </row>
    <row r="794" spans="2:2" ht="15.75" customHeight="1" x14ac:dyDescent="0.2">
      <c r="B794" s="185"/>
    </row>
    <row r="795" spans="2:2" ht="15.75" customHeight="1" x14ac:dyDescent="0.2">
      <c r="B795" s="185"/>
    </row>
    <row r="796" spans="2:2" ht="15.75" customHeight="1" x14ac:dyDescent="0.2">
      <c r="B796" s="185"/>
    </row>
    <row r="797" spans="2:2" ht="15.75" customHeight="1" x14ac:dyDescent="0.2">
      <c r="B797" s="185"/>
    </row>
    <row r="798" spans="2:2" ht="15.75" customHeight="1" x14ac:dyDescent="0.2">
      <c r="B798" s="185"/>
    </row>
    <row r="799" spans="2:2" ht="15.75" customHeight="1" x14ac:dyDescent="0.2">
      <c r="B799" s="185"/>
    </row>
    <row r="800" spans="2:2" ht="15.75" customHeight="1" x14ac:dyDescent="0.2">
      <c r="B800" s="185"/>
    </row>
    <row r="801" spans="2:2" ht="15.75" customHeight="1" x14ac:dyDescent="0.2">
      <c r="B801" s="185"/>
    </row>
    <row r="802" spans="2:2" ht="15.75" customHeight="1" x14ac:dyDescent="0.2">
      <c r="B802" s="185"/>
    </row>
    <row r="803" spans="2:2" ht="15.75" customHeight="1" x14ac:dyDescent="0.2">
      <c r="B803" s="185"/>
    </row>
    <row r="804" spans="2:2" ht="15.75" customHeight="1" x14ac:dyDescent="0.2">
      <c r="B804" s="185"/>
    </row>
    <row r="805" spans="2:2" ht="15.75" customHeight="1" x14ac:dyDescent="0.2">
      <c r="B805" s="185"/>
    </row>
    <row r="806" spans="2:2" ht="15.75" customHeight="1" x14ac:dyDescent="0.2">
      <c r="B806" s="185"/>
    </row>
    <row r="807" spans="2:2" ht="15.75" customHeight="1" x14ac:dyDescent="0.2">
      <c r="B807" s="185"/>
    </row>
    <row r="808" spans="2:2" ht="15.75" customHeight="1" x14ac:dyDescent="0.2">
      <c r="B808" s="185"/>
    </row>
    <row r="809" spans="2:2" ht="15.75" customHeight="1" x14ac:dyDescent="0.2">
      <c r="B809" s="185"/>
    </row>
    <row r="810" spans="2:2" ht="15.75" customHeight="1" x14ac:dyDescent="0.2">
      <c r="B810" s="185"/>
    </row>
    <row r="811" spans="2:2" ht="15.75" customHeight="1" x14ac:dyDescent="0.2">
      <c r="B811" s="185"/>
    </row>
    <row r="812" spans="2:2" ht="15.75" customHeight="1" x14ac:dyDescent="0.2">
      <c r="B812" s="185"/>
    </row>
    <row r="813" spans="2:2" ht="15.75" customHeight="1" x14ac:dyDescent="0.2">
      <c r="B813" s="185"/>
    </row>
    <row r="814" spans="2:2" ht="15.75" customHeight="1" x14ac:dyDescent="0.2">
      <c r="B814" s="185"/>
    </row>
    <row r="815" spans="2:2" ht="15.75" customHeight="1" x14ac:dyDescent="0.2">
      <c r="B815" s="185"/>
    </row>
    <row r="816" spans="2:2" ht="15.75" customHeight="1" x14ac:dyDescent="0.2">
      <c r="B816" s="185"/>
    </row>
    <row r="817" spans="2:2" ht="15.75" customHeight="1" x14ac:dyDescent="0.2">
      <c r="B817" s="185"/>
    </row>
    <row r="818" spans="2:2" ht="15.75" customHeight="1" x14ac:dyDescent="0.2">
      <c r="B818" s="185"/>
    </row>
    <row r="819" spans="2:2" ht="15.75" customHeight="1" x14ac:dyDescent="0.2">
      <c r="B819" s="185"/>
    </row>
    <row r="820" spans="2:2" ht="15.75" customHeight="1" x14ac:dyDescent="0.2">
      <c r="B820" s="185"/>
    </row>
    <row r="821" spans="2:2" ht="15.75" customHeight="1" x14ac:dyDescent="0.2">
      <c r="B821" s="185"/>
    </row>
    <row r="822" spans="2:2" ht="15.75" customHeight="1" x14ac:dyDescent="0.2">
      <c r="B822" s="185"/>
    </row>
    <row r="823" spans="2:2" ht="15.75" customHeight="1" x14ac:dyDescent="0.2">
      <c r="B823" s="185"/>
    </row>
    <row r="824" spans="2:2" ht="15.75" customHeight="1" x14ac:dyDescent="0.2">
      <c r="B824" s="185"/>
    </row>
    <row r="825" spans="2:2" ht="15.75" customHeight="1" x14ac:dyDescent="0.2">
      <c r="B825" s="185"/>
    </row>
    <row r="826" spans="2:2" ht="15.75" customHeight="1" x14ac:dyDescent="0.2">
      <c r="B826" s="185"/>
    </row>
    <row r="827" spans="2:2" ht="15.75" customHeight="1" x14ac:dyDescent="0.2">
      <c r="B827" s="185"/>
    </row>
    <row r="828" spans="2:2" ht="15.75" customHeight="1" x14ac:dyDescent="0.2">
      <c r="B828" s="185"/>
    </row>
    <row r="829" spans="2:2" ht="15.75" customHeight="1" x14ac:dyDescent="0.2">
      <c r="B829" s="185"/>
    </row>
    <row r="830" spans="2:2" ht="15.75" customHeight="1" x14ac:dyDescent="0.2">
      <c r="B830" s="185"/>
    </row>
    <row r="831" spans="2:2" ht="15.75" customHeight="1" x14ac:dyDescent="0.2">
      <c r="B831" s="185"/>
    </row>
    <row r="832" spans="2:2" ht="15.75" customHeight="1" x14ac:dyDescent="0.2">
      <c r="B832" s="185"/>
    </row>
    <row r="833" spans="2:2" ht="15.75" customHeight="1" x14ac:dyDescent="0.2">
      <c r="B833" s="185"/>
    </row>
    <row r="834" spans="2:2" ht="15.75" customHeight="1" x14ac:dyDescent="0.2">
      <c r="B834" s="185"/>
    </row>
    <row r="835" spans="2:2" ht="15.75" customHeight="1" x14ac:dyDescent="0.2">
      <c r="B835" s="185"/>
    </row>
    <row r="836" spans="2:2" ht="15.75" customHeight="1" x14ac:dyDescent="0.2">
      <c r="B836" s="185"/>
    </row>
    <row r="837" spans="2:2" ht="15.75" customHeight="1" x14ac:dyDescent="0.2">
      <c r="B837" s="185"/>
    </row>
    <row r="838" spans="2:2" ht="15.75" customHeight="1" x14ac:dyDescent="0.2">
      <c r="B838" s="185"/>
    </row>
    <row r="839" spans="2:2" ht="15.75" customHeight="1" x14ac:dyDescent="0.2">
      <c r="B839" s="185"/>
    </row>
    <row r="840" spans="2:2" ht="15.75" customHeight="1" x14ac:dyDescent="0.2">
      <c r="B840" s="185"/>
    </row>
    <row r="841" spans="2:2" ht="15.75" customHeight="1" x14ac:dyDescent="0.2">
      <c r="B841" s="185"/>
    </row>
    <row r="842" spans="2:2" ht="15.75" customHeight="1" x14ac:dyDescent="0.2">
      <c r="B842" s="185"/>
    </row>
    <row r="843" spans="2:2" ht="15.75" customHeight="1" x14ac:dyDescent="0.2">
      <c r="B843" s="185"/>
    </row>
    <row r="844" spans="2:2" ht="15.75" customHeight="1" x14ac:dyDescent="0.2">
      <c r="B844" s="185"/>
    </row>
    <row r="845" spans="2:2" ht="15.75" customHeight="1" x14ac:dyDescent="0.2">
      <c r="B845" s="185"/>
    </row>
    <row r="846" spans="2:2" ht="15.75" customHeight="1" x14ac:dyDescent="0.2">
      <c r="B846" s="185"/>
    </row>
    <row r="847" spans="2:2" ht="15.75" customHeight="1" x14ac:dyDescent="0.2">
      <c r="B847" s="185"/>
    </row>
    <row r="848" spans="2:2" ht="15.75" customHeight="1" x14ac:dyDescent="0.2">
      <c r="B848" s="185"/>
    </row>
    <row r="849" spans="2:2" ht="15.75" customHeight="1" x14ac:dyDescent="0.2">
      <c r="B849" s="185"/>
    </row>
    <row r="850" spans="2:2" ht="15.75" customHeight="1" x14ac:dyDescent="0.2">
      <c r="B850" s="185"/>
    </row>
    <row r="851" spans="2:2" ht="15.75" customHeight="1" x14ac:dyDescent="0.2">
      <c r="B851" s="185"/>
    </row>
    <row r="852" spans="2:2" ht="15.75" customHeight="1" x14ac:dyDescent="0.2">
      <c r="B852" s="185"/>
    </row>
    <row r="853" spans="2:2" ht="15.75" customHeight="1" x14ac:dyDescent="0.2">
      <c r="B853" s="185"/>
    </row>
    <row r="854" spans="2:2" ht="15.75" customHeight="1" x14ac:dyDescent="0.2">
      <c r="B854" s="185"/>
    </row>
    <row r="855" spans="2:2" ht="15.75" customHeight="1" x14ac:dyDescent="0.2">
      <c r="B855" s="185"/>
    </row>
    <row r="856" spans="2:2" ht="15.75" customHeight="1" x14ac:dyDescent="0.2">
      <c r="B856" s="185"/>
    </row>
    <row r="857" spans="2:2" ht="15.75" customHeight="1" x14ac:dyDescent="0.2">
      <c r="B857" s="185"/>
    </row>
    <row r="858" spans="2:2" ht="15.75" customHeight="1" x14ac:dyDescent="0.2">
      <c r="B858" s="185"/>
    </row>
    <row r="859" spans="2:2" ht="15.75" customHeight="1" x14ac:dyDescent="0.2">
      <c r="B859" s="185"/>
    </row>
    <row r="860" spans="2:2" ht="15.75" customHeight="1" x14ac:dyDescent="0.2">
      <c r="B860" s="185"/>
    </row>
    <row r="861" spans="2:2" ht="15.75" customHeight="1" x14ac:dyDescent="0.2">
      <c r="B861" s="185"/>
    </row>
    <row r="862" spans="2:2" ht="15.75" customHeight="1" x14ac:dyDescent="0.2">
      <c r="B862" s="185"/>
    </row>
    <row r="863" spans="2:2" ht="15.75" customHeight="1" x14ac:dyDescent="0.2">
      <c r="B863" s="185"/>
    </row>
    <row r="864" spans="2:2" ht="15.75" customHeight="1" x14ac:dyDescent="0.2">
      <c r="B864" s="185"/>
    </row>
    <row r="865" spans="2:2" ht="15.75" customHeight="1" x14ac:dyDescent="0.2">
      <c r="B865" s="185"/>
    </row>
    <row r="866" spans="2:2" ht="15.75" customHeight="1" x14ac:dyDescent="0.2">
      <c r="B866" s="185"/>
    </row>
    <row r="867" spans="2:2" ht="15.75" customHeight="1" x14ac:dyDescent="0.2">
      <c r="B867" s="185"/>
    </row>
    <row r="868" spans="2:2" ht="15.75" customHeight="1" x14ac:dyDescent="0.2">
      <c r="B868" s="185"/>
    </row>
    <row r="869" spans="2:2" ht="15.75" customHeight="1" x14ac:dyDescent="0.2">
      <c r="B869" s="185"/>
    </row>
    <row r="870" spans="2:2" ht="15.75" customHeight="1" x14ac:dyDescent="0.2">
      <c r="B870" s="185"/>
    </row>
    <row r="871" spans="2:2" ht="15.75" customHeight="1" x14ac:dyDescent="0.2">
      <c r="B871" s="185"/>
    </row>
    <row r="872" spans="2:2" ht="15.75" customHeight="1" x14ac:dyDescent="0.2">
      <c r="B872" s="185"/>
    </row>
    <row r="873" spans="2:2" ht="15.75" customHeight="1" x14ac:dyDescent="0.2">
      <c r="B873" s="185"/>
    </row>
    <row r="874" spans="2:2" ht="15.75" customHeight="1" x14ac:dyDescent="0.2">
      <c r="B874" s="185"/>
    </row>
    <row r="875" spans="2:2" ht="15.75" customHeight="1" x14ac:dyDescent="0.2">
      <c r="B875" s="185"/>
    </row>
    <row r="876" spans="2:2" ht="15.75" customHeight="1" x14ac:dyDescent="0.2">
      <c r="B876" s="185"/>
    </row>
    <row r="877" spans="2:2" ht="15.75" customHeight="1" x14ac:dyDescent="0.2">
      <c r="B877" s="185"/>
    </row>
    <row r="878" spans="2:2" ht="15.75" customHeight="1" x14ac:dyDescent="0.2">
      <c r="B878" s="185"/>
    </row>
    <row r="879" spans="2:2" ht="15.75" customHeight="1" x14ac:dyDescent="0.2">
      <c r="B879" s="185"/>
    </row>
    <row r="880" spans="2:2" ht="15.75" customHeight="1" x14ac:dyDescent="0.2">
      <c r="B880" s="185"/>
    </row>
    <row r="881" spans="2:2" ht="15.75" customHeight="1" x14ac:dyDescent="0.2">
      <c r="B881" s="185"/>
    </row>
    <row r="882" spans="2:2" ht="15.75" customHeight="1" x14ac:dyDescent="0.2">
      <c r="B882" s="185"/>
    </row>
    <row r="883" spans="2:2" ht="15.75" customHeight="1" x14ac:dyDescent="0.2">
      <c r="B883" s="185"/>
    </row>
    <row r="884" spans="2:2" ht="15.75" customHeight="1" x14ac:dyDescent="0.2">
      <c r="B884" s="185"/>
    </row>
    <row r="885" spans="2:2" ht="15.75" customHeight="1" x14ac:dyDescent="0.2">
      <c r="B885" s="185"/>
    </row>
    <row r="886" spans="2:2" ht="15.75" customHeight="1" x14ac:dyDescent="0.2">
      <c r="B886" s="185"/>
    </row>
    <row r="887" spans="2:2" ht="15.75" customHeight="1" x14ac:dyDescent="0.2">
      <c r="B887" s="185"/>
    </row>
    <row r="888" spans="2:2" ht="15.75" customHeight="1" x14ac:dyDescent="0.2">
      <c r="B888" s="185"/>
    </row>
    <row r="889" spans="2:2" ht="15.75" customHeight="1" x14ac:dyDescent="0.2">
      <c r="B889" s="185"/>
    </row>
    <row r="890" spans="2:2" ht="15.75" customHeight="1" x14ac:dyDescent="0.2">
      <c r="B890" s="185"/>
    </row>
    <row r="891" spans="2:2" ht="15.75" customHeight="1" x14ac:dyDescent="0.2">
      <c r="B891" s="185"/>
    </row>
    <row r="892" spans="2:2" ht="15.75" customHeight="1" x14ac:dyDescent="0.2">
      <c r="B892" s="185"/>
    </row>
    <row r="893" spans="2:2" ht="15.75" customHeight="1" x14ac:dyDescent="0.2">
      <c r="B893" s="185"/>
    </row>
    <row r="894" spans="2:2" ht="15.75" customHeight="1" x14ac:dyDescent="0.2">
      <c r="B894" s="185"/>
    </row>
    <row r="895" spans="2:2" ht="15.75" customHeight="1" x14ac:dyDescent="0.2">
      <c r="B895" s="185"/>
    </row>
    <row r="896" spans="2:2" ht="15.75" customHeight="1" x14ac:dyDescent="0.2">
      <c r="B896" s="185"/>
    </row>
    <row r="897" spans="2:2" ht="15.75" customHeight="1" x14ac:dyDescent="0.2">
      <c r="B897" s="185"/>
    </row>
    <row r="898" spans="2:2" ht="15.75" customHeight="1" x14ac:dyDescent="0.2">
      <c r="B898" s="185"/>
    </row>
    <row r="899" spans="2:2" ht="15.75" customHeight="1" x14ac:dyDescent="0.2">
      <c r="B899" s="185"/>
    </row>
    <row r="900" spans="2:2" ht="15.75" customHeight="1" x14ac:dyDescent="0.2">
      <c r="B900" s="185"/>
    </row>
    <row r="901" spans="2:2" ht="15.75" customHeight="1" x14ac:dyDescent="0.2">
      <c r="B901" s="185"/>
    </row>
    <row r="902" spans="2:2" ht="15.75" customHeight="1" x14ac:dyDescent="0.2">
      <c r="B902" s="185"/>
    </row>
    <row r="903" spans="2:2" ht="15.75" customHeight="1" x14ac:dyDescent="0.2">
      <c r="B903" s="185"/>
    </row>
    <row r="904" spans="2:2" ht="15.75" customHeight="1" x14ac:dyDescent="0.2">
      <c r="B904" s="185"/>
    </row>
    <row r="905" spans="2:2" ht="15.75" customHeight="1" x14ac:dyDescent="0.2">
      <c r="B905" s="185"/>
    </row>
    <row r="906" spans="2:2" ht="15.75" customHeight="1" x14ac:dyDescent="0.2">
      <c r="B906" s="185"/>
    </row>
    <row r="907" spans="2:2" ht="15.75" customHeight="1" x14ac:dyDescent="0.2">
      <c r="B907" s="185"/>
    </row>
    <row r="908" spans="2:2" ht="15.75" customHeight="1" x14ac:dyDescent="0.2">
      <c r="B908" s="185"/>
    </row>
    <row r="909" spans="2:2" ht="15.75" customHeight="1" x14ac:dyDescent="0.2">
      <c r="B909" s="185"/>
    </row>
    <row r="910" spans="2:2" ht="15.75" customHeight="1" x14ac:dyDescent="0.2">
      <c r="B910" s="185"/>
    </row>
    <row r="911" spans="2:2" ht="15.75" customHeight="1" x14ac:dyDescent="0.2">
      <c r="B911" s="185"/>
    </row>
    <row r="912" spans="2:2" ht="15.75" customHeight="1" x14ac:dyDescent="0.2">
      <c r="B912" s="185"/>
    </row>
    <row r="913" spans="2:2" ht="15.75" customHeight="1" x14ac:dyDescent="0.2">
      <c r="B913" s="185"/>
    </row>
    <row r="914" spans="2:2" ht="15.75" customHeight="1" x14ac:dyDescent="0.2">
      <c r="B914" s="185"/>
    </row>
    <row r="915" spans="2:2" ht="15.75" customHeight="1" x14ac:dyDescent="0.2">
      <c r="B915" s="185"/>
    </row>
    <row r="916" spans="2:2" ht="15.75" customHeight="1" x14ac:dyDescent="0.2">
      <c r="B916" s="185"/>
    </row>
    <row r="917" spans="2:2" ht="15.75" customHeight="1" x14ac:dyDescent="0.2">
      <c r="B917" s="185"/>
    </row>
    <row r="918" spans="2:2" ht="15.75" customHeight="1" x14ac:dyDescent="0.2">
      <c r="B918" s="185"/>
    </row>
    <row r="919" spans="2:2" ht="15.75" customHeight="1" x14ac:dyDescent="0.2">
      <c r="B919" s="185"/>
    </row>
    <row r="920" spans="2:2" ht="15.75" customHeight="1" x14ac:dyDescent="0.2">
      <c r="B920" s="185"/>
    </row>
    <row r="921" spans="2:2" ht="15.75" customHeight="1" x14ac:dyDescent="0.2">
      <c r="B921" s="185"/>
    </row>
    <row r="922" spans="2:2" ht="15.75" customHeight="1" x14ac:dyDescent="0.2">
      <c r="B922" s="185"/>
    </row>
    <row r="923" spans="2:2" ht="15.75" customHeight="1" x14ac:dyDescent="0.2">
      <c r="B923" s="185"/>
    </row>
    <row r="924" spans="2:2" ht="15.75" customHeight="1" x14ac:dyDescent="0.2">
      <c r="B924" s="185"/>
    </row>
    <row r="925" spans="2:2" ht="15.75" customHeight="1" x14ac:dyDescent="0.2">
      <c r="B925" s="185"/>
    </row>
    <row r="926" spans="2:2" ht="15.75" customHeight="1" x14ac:dyDescent="0.2">
      <c r="B926" s="185"/>
    </row>
    <row r="927" spans="2:2" ht="15.75" customHeight="1" x14ac:dyDescent="0.2">
      <c r="B927" s="185"/>
    </row>
    <row r="928" spans="2:2" ht="15.75" customHeight="1" x14ac:dyDescent="0.2">
      <c r="B928" s="185"/>
    </row>
    <row r="929" spans="2:2" ht="15.75" customHeight="1" x14ac:dyDescent="0.2">
      <c r="B929" s="185"/>
    </row>
    <row r="930" spans="2:2" ht="15.75" customHeight="1" x14ac:dyDescent="0.2">
      <c r="B930" s="185"/>
    </row>
    <row r="931" spans="2:2" ht="15.75" customHeight="1" x14ac:dyDescent="0.2">
      <c r="B931" s="185"/>
    </row>
    <row r="932" spans="2:2" ht="15.75" customHeight="1" x14ac:dyDescent="0.2">
      <c r="B932" s="185"/>
    </row>
    <row r="933" spans="2:2" ht="15.75" customHeight="1" x14ac:dyDescent="0.2">
      <c r="B933" s="185"/>
    </row>
    <row r="934" spans="2:2" ht="15.75" customHeight="1" x14ac:dyDescent="0.2">
      <c r="B934" s="185"/>
    </row>
    <row r="935" spans="2:2" ht="15.75" customHeight="1" x14ac:dyDescent="0.2">
      <c r="B935" s="185"/>
    </row>
    <row r="936" spans="2:2" ht="15.75" customHeight="1" x14ac:dyDescent="0.2">
      <c r="B936" s="185"/>
    </row>
    <row r="937" spans="2:2" ht="15.75" customHeight="1" x14ac:dyDescent="0.2">
      <c r="B937" s="185"/>
    </row>
    <row r="938" spans="2:2" ht="15.75" customHeight="1" x14ac:dyDescent="0.2">
      <c r="B938" s="185"/>
    </row>
    <row r="939" spans="2:2" ht="15.75" customHeight="1" x14ac:dyDescent="0.2">
      <c r="B939" s="185"/>
    </row>
    <row r="940" spans="2:2" ht="15.75" customHeight="1" x14ac:dyDescent="0.2">
      <c r="B940" s="185"/>
    </row>
    <row r="941" spans="2:2" ht="15.75" customHeight="1" x14ac:dyDescent="0.2">
      <c r="B941" s="185"/>
    </row>
    <row r="942" spans="2:2" ht="15.75" customHeight="1" x14ac:dyDescent="0.2">
      <c r="B942" s="185"/>
    </row>
    <row r="943" spans="2:2" ht="15.75" customHeight="1" x14ac:dyDescent="0.2">
      <c r="B943" s="185"/>
    </row>
    <row r="944" spans="2:2" ht="15.75" customHeight="1" x14ac:dyDescent="0.2">
      <c r="B944" s="185"/>
    </row>
    <row r="945" spans="2:2" ht="15.75" customHeight="1" x14ac:dyDescent="0.2">
      <c r="B945" s="185"/>
    </row>
    <row r="946" spans="2:2" ht="15.75" customHeight="1" x14ac:dyDescent="0.2">
      <c r="B946" s="185"/>
    </row>
    <row r="947" spans="2:2" ht="15.75" customHeight="1" x14ac:dyDescent="0.2">
      <c r="B947" s="185"/>
    </row>
    <row r="948" spans="2:2" ht="15.75" customHeight="1" x14ac:dyDescent="0.2">
      <c r="B948" s="185"/>
    </row>
    <row r="949" spans="2:2" ht="15.75" customHeight="1" x14ac:dyDescent="0.2">
      <c r="B949" s="185"/>
    </row>
    <row r="950" spans="2:2" ht="15.75" customHeight="1" x14ac:dyDescent="0.2">
      <c r="B950" s="185"/>
    </row>
    <row r="951" spans="2:2" ht="15.75" customHeight="1" x14ac:dyDescent="0.2">
      <c r="B951" s="185"/>
    </row>
    <row r="952" spans="2:2" ht="15.75" customHeight="1" x14ac:dyDescent="0.2">
      <c r="B952" s="185"/>
    </row>
    <row r="953" spans="2:2" ht="15.75" customHeight="1" x14ac:dyDescent="0.2">
      <c r="B953" s="185"/>
    </row>
    <row r="954" spans="2:2" ht="15.75" customHeight="1" x14ac:dyDescent="0.2">
      <c r="B954" s="185"/>
    </row>
    <row r="955" spans="2:2" ht="15.75" customHeight="1" x14ac:dyDescent="0.2">
      <c r="B955" s="185"/>
    </row>
    <row r="956" spans="2:2" ht="15.75" customHeight="1" x14ac:dyDescent="0.2">
      <c r="B956" s="185"/>
    </row>
    <row r="957" spans="2:2" ht="15.75" customHeight="1" x14ac:dyDescent="0.2">
      <c r="B957" s="185"/>
    </row>
    <row r="958" spans="2:2" ht="15.75" customHeight="1" x14ac:dyDescent="0.2">
      <c r="B958" s="185"/>
    </row>
    <row r="959" spans="2:2" ht="15.75" customHeight="1" x14ac:dyDescent="0.2">
      <c r="B959" s="185"/>
    </row>
    <row r="960" spans="2:2" ht="15.75" customHeight="1" x14ac:dyDescent="0.2">
      <c r="B960" s="185"/>
    </row>
    <row r="961" spans="2:2" ht="15.75" customHeight="1" x14ac:dyDescent="0.2">
      <c r="B961" s="185"/>
    </row>
    <row r="962" spans="2:2" ht="15.75" customHeight="1" x14ac:dyDescent="0.2">
      <c r="B962" s="185"/>
    </row>
    <row r="963" spans="2:2" ht="15.75" customHeight="1" x14ac:dyDescent="0.2">
      <c r="B963" s="185"/>
    </row>
    <row r="964" spans="2:2" ht="15.75" customHeight="1" x14ac:dyDescent="0.2">
      <c r="B964" s="185"/>
    </row>
    <row r="965" spans="2:2" ht="15.75" customHeight="1" x14ac:dyDescent="0.2">
      <c r="B965" s="185"/>
    </row>
    <row r="966" spans="2:2" ht="15.75" customHeight="1" x14ac:dyDescent="0.2">
      <c r="B966" s="185"/>
    </row>
    <row r="967" spans="2:2" ht="15.75" customHeight="1" x14ac:dyDescent="0.2">
      <c r="B967" s="185"/>
    </row>
    <row r="968" spans="2:2" ht="15.75" customHeight="1" x14ac:dyDescent="0.2">
      <c r="B968" s="185"/>
    </row>
    <row r="969" spans="2:2" ht="15.75" customHeight="1" x14ac:dyDescent="0.2">
      <c r="B969" s="185"/>
    </row>
    <row r="970" spans="2:2" ht="15.75" customHeight="1" x14ac:dyDescent="0.2">
      <c r="B970" s="185"/>
    </row>
    <row r="971" spans="2:2" ht="15.75" customHeight="1" x14ac:dyDescent="0.2">
      <c r="B971" s="185"/>
    </row>
    <row r="972" spans="2:2" ht="15.75" customHeight="1" x14ac:dyDescent="0.2">
      <c r="B972" s="185"/>
    </row>
    <row r="973" spans="2:2" ht="15.75" customHeight="1" x14ac:dyDescent="0.2">
      <c r="B973" s="185"/>
    </row>
    <row r="974" spans="2:2" ht="15.75" customHeight="1" x14ac:dyDescent="0.2">
      <c r="B974" s="185"/>
    </row>
    <row r="975" spans="2:2" ht="15.75" customHeight="1" x14ac:dyDescent="0.2">
      <c r="B975" s="185"/>
    </row>
    <row r="976" spans="2:2" ht="15.75" customHeight="1" x14ac:dyDescent="0.2">
      <c r="B976" s="185"/>
    </row>
    <row r="977" spans="2:2" ht="15.75" customHeight="1" x14ac:dyDescent="0.2">
      <c r="B977" s="185"/>
    </row>
    <row r="978" spans="2:2" ht="15.75" customHeight="1" x14ac:dyDescent="0.2">
      <c r="B978" s="185"/>
    </row>
    <row r="979" spans="2:2" ht="15.75" customHeight="1" x14ac:dyDescent="0.2">
      <c r="B979" s="185"/>
    </row>
    <row r="980" spans="2:2" ht="15.75" customHeight="1" x14ac:dyDescent="0.2">
      <c r="B980" s="185"/>
    </row>
    <row r="981" spans="2:2" ht="15.75" customHeight="1" x14ac:dyDescent="0.2">
      <c r="B981" s="185"/>
    </row>
    <row r="982" spans="2:2" ht="15.75" customHeight="1" x14ac:dyDescent="0.2">
      <c r="B982" s="185"/>
    </row>
    <row r="983" spans="2:2" ht="15.75" customHeight="1" x14ac:dyDescent="0.2">
      <c r="B983" s="185"/>
    </row>
    <row r="984" spans="2:2" ht="15.75" customHeight="1" x14ac:dyDescent="0.2">
      <c r="B984" s="185"/>
    </row>
    <row r="985" spans="2:2" ht="15.75" customHeight="1" x14ac:dyDescent="0.2">
      <c r="B985" s="185"/>
    </row>
    <row r="986" spans="2:2" ht="15.75" customHeight="1" x14ac:dyDescent="0.2">
      <c r="B986" s="185"/>
    </row>
    <row r="987" spans="2:2" ht="15.75" customHeight="1" x14ac:dyDescent="0.2">
      <c r="B987" s="185"/>
    </row>
    <row r="988" spans="2:2" ht="15.75" customHeight="1" x14ac:dyDescent="0.2">
      <c r="B988" s="185"/>
    </row>
    <row r="989" spans="2:2" ht="15.75" customHeight="1" x14ac:dyDescent="0.2">
      <c r="B989" s="185"/>
    </row>
    <row r="990" spans="2:2" ht="15.75" customHeight="1" x14ac:dyDescent="0.2">
      <c r="B990" s="185"/>
    </row>
    <row r="991" spans="2:2" ht="15.75" customHeight="1" x14ac:dyDescent="0.2">
      <c r="B991" s="185"/>
    </row>
    <row r="992" spans="2:2" ht="15.75" customHeight="1" x14ac:dyDescent="0.2">
      <c r="B992" s="185"/>
    </row>
    <row r="993" spans="2:2" ht="15.75" customHeight="1" x14ac:dyDescent="0.2">
      <c r="B993" s="185"/>
    </row>
    <row r="994" spans="2:2" ht="15.75" customHeight="1" x14ac:dyDescent="0.2">
      <c r="B994" s="185"/>
    </row>
    <row r="995" spans="2:2" ht="15.75" customHeight="1" x14ac:dyDescent="0.2">
      <c r="B995" s="185"/>
    </row>
    <row r="996" spans="2:2" ht="15.75" customHeight="1" x14ac:dyDescent="0.2">
      <c r="B996" s="185"/>
    </row>
    <row r="997" spans="2:2" ht="15.75" customHeight="1" x14ac:dyDescent="0.2">
      <c r="B997" s="185"/>
    </row>
    <row r="998" spans="2:2" ht="15.75" customHeight="1" x14ac:dyDescent="0.2">
      <c r="B998" s="185"/>
    </row>
    <row r="999" spans="2:2" ht="15.75" customHeight="1" x14ac:dyDescent="0.2">
      <c r="B999" s="185"/>
    </row>
    <row r="1000" spans="2:2" ht="15.75" customHeight="1" x14ac:dyDescent="0.2">
      <c r="B1000" s="185"/>
    </row>
  </sheetData>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2:D1000"/>
  <sheetViews>
    <sheetView workbookViewId="0">
      <selection activeCell="B5" sqref="B5"/>
    </sheetView>
  </sheetViews>
  <sheetFormatPr baseColWidth="10" defaultColWidth="14.5" defaultRowHeight="15" customHeight="1" x14ac:dyDescent="0.2"/>
  <cols>
    <col min="1" max="1" width="6.33203125" customWidth="1"/>
    <col min="2" max="2" width="29.5" customWidth="1"/>
    <col min="3" max="3" width="11.5" customWidth="1"/>
    <col min="4" max="4" width="55.6640625" customWidth="1"/>
    <col min="5" max="26" width="11.5" customWidth="1"/>
  </cols>
  <sheetData>
    <row r="2" spans="1:4" x14ac:dyDescent="0.2">
      <c r="A2" s="194" t="s">
        <v>148</v>
      </c>
    </row>
    <row r="3" spans="1:4" x14ac:dyDescent="0.2">
      <c r="B3" s="195" t="s">
        <v>149</v>
      </c>
      <c r="C3" s="195" t="s">
        <v>150</v>
      </c>
      <c r="D3" s="195" t="s">
        <v>151</v>
      </c>
    </row>
    <row r="4" spans="1:4" x14ac:dyDescent="0.2">
      <c r="A4" s="196">
        <v>1</v>
      </c>
      <c r="B4" s="196" t="str">
        <f>IF('90-4 for R&amp;R Budget'!B12=" "," ",IF('90-4 for R&amp;R Budget'!B12=0," ",'90-4 for R&amp;R Budget'!B12))</f>
        <v>Connor O'Loughlin</v>
      </c>
      <c r="C4" s="197">
        <v>14.7</v>
      </c>
      <c r="D4" s="197"/>
    </row>
    <row r="5" spans="1:4" x14ac:dyDescent="0.2">
      <c r="A5" s="196">
        <v>2</v>
      </c>
      <c r="B5" s="196" t="str">
        <f>IF('90-4 for R&amp;R Budget'!B13=" "," ",IF('90-4 for R&amp;R Budget'!B13=0," ",'90-4 for R&amp;R Budget'!B13))</f>
        <v xml:space="preserve"> </v>
      </c>
      <c r="C5" s="197"/>
      <c r="D5" s="197"/>
    </row>
    <row r="6" spans="1:4" x14ac:dyDescent="0.2">
      <c r="A6" s="196">
        <v>3</v>
      </c>
      <c r="B6" s="196" t="str">
        <f>IF('90-4 for R&amp;R Budget'!B14=" "," ",IF('90-4 for R&amp;R Budget'!B14=0," ",'90-4 for R&amp;R Budget'!B14))</f>
        <v xml:space="preserve"> </v>
      </c>
      <c r="C6" s="197"/>
      <c r="D6" s="197"/>
    </row>
    <row r="7" spans="1:4" x14ac:dyDescent="0.2">
      <c r="A7" s="196">
        <v>4</v>
      </c>
      <c r="B7" s="196" t="str">
        <f>IF('90-4 for R&amp;R Budget'!B15=" "," ",IF('90-4 for R&amp;R Budget'!B15=0," ",'90-4 for R&amp;R Budget'!B15))</f>
        <v xml:space="preserve"> </v>
      </c>
      <c r="C7" s="197"/>
      <c r="D7" s="197"/>
    </row>
    <row r="8" spans="1:4" x14ac:dyDescent="0.2">
      <c r="A8" s="196">
        <v>5</v>
      </c>
      <c r="B8" s="196" t="str">
        <f>IF('90-4 for R&amp;R Budget'!B16=" "," ",IF('90-4 for R&amp;R Budget'!B16=0," ",'90-4 for R&amp;R Budget'!B16))</f>
        <v xml:space="preserve"> </v>
      </c>
      <c r="C8" s="197"/>
      <c r="D8" s="197"/>
    </row>
    <row r="9" spans="1:4" x14ac:dyDescent="0.2">
      <c r="A9" s="196">
        <v>6</v>
      </c>
      <c r="B9" s="196" t="str">
        <f>IF('90-4 for R&amp;R Budget'!B17=" "," ",IF('90-4 for R&amp;R Budget'!B17=0," ",'90-4 for R&amp;R Budget'!B17))</f>
        <v xml:space="preserve"> </v>
      </c>
      <c r="C9" s="197"/>
      <c r="D9" s="197"/>
    </row>
    <row r="10" spans="1:4" x14ac:dyDescent="0.2">
      <c r="A10" s="196">
        <v>7</v>
      </c>
      <c r="B10" s="196" t="str">
        <f>IF('90-4 for R&amp;R Budget'!B18=" "," ",IF('90-4 for R&amp;R Budget'!B18=0," ",'90-4 for R&amp;R Budget'!B18))</f>
        <v xml:space="preserve"> </v>
      </c>
      <c r="C10" s="197"/>
      <c r="D10" s="197"/>
    </row>
    <row r="11" spans="1:4" x14ac:dyDescent="0.2">
      <c r="A11" s="196">
        <v>8</v>
      </c>
      <c r="B11" s="196" t="str">
        <f>IF('90-4 for R&amp;R Budget'!B19=" "," ",IF('90-4 for R&amp;R Budget'!B19=0," ",'90-4 for R&amp;R Budget'!B19))</f>
        <v xml:space="preserve"> </v>
      </c>
      <c r="C11" s="197"/>
      <c r="D11" s="197"/>
    </row>
    <row r="12" spans="1:4" x14ac:dyDescent="0.2">
      <c r="A12" s="196">
        <v>9</v>
      </c>
      <c r="B12" s="196" t="str">
        <f>IF('90-4 for R&amp;R Budget'!B20=" "," ",IF('90-4 for R&amp;R Budget'!B20=0," ",'90-4 for R&amp;R Budget'!B20))</f>
        <v xml:space="preserve"> </v>
      </c>
      <c r="C12" s="197"/>
      <c r="D12" s="197"/>
    </row>
    <row r="13" spans="1:4" x14ac:dyDescent="0.2">
      <c r="A13" s="196">
        <v>10</v>
      </c>
      <c r="B13" s="196" t="str">
        <f>IF('90-4 for R&amp;R Budget'!B21=" "," ",IF('90-4 for R&amp;R Budget'!B21=0," ",'90-4 for R&amp;R Budget'!B21))</f>
        <v xml:space="preserve"> </v>
      </c>
      <c r="C13" s="197"/>
      <c r="D13" s="197"/>
    </row>
    <row r="14" spans="1:4" x14ac:dyDescent="0.2">
      <c r="A14" s="196">
        <v>11</v>
      </c>
      <c r="B14" s="196" t="str">
        <f>IF('90-4 for R&amp;R Budget'!B22=" "," ",IF('90-4 for R&amp;R Budget'!B22=0," ",'90-4 for R&amp;R Budget'!B22))</f>
        <v xml:space="preserve"> </v>
      </c>
      <c r="C14" s="197"/>
      <c r="D14" s="197"/>
    </row>
    <row r="15" spans="1:4" x14ac:dyDescent="0.2">
      <c r="A15" s="196">
        <v>12</v>
      </c>
      <c r="B15" s="196" t="str">
        <f>IF('90-4 for R&amp;R Budget'!B23=" "," ",IF('90-4 for R&amp;R Budget'!B23=0," ",'90-4 for R&amp;R Budget'!B23))</f>
        <v xml:space="preserve"> </v>
      </c>
      <c r="C15" s="197"/>
      <c r="D15" s="197"/>
    </row>
    <row r="16" spans="1:4" x14ac:dyDescent="0.2">
      <c r="A16" s="196">
        <v>13</v>
      </c>
      <c r="B16" s="198"/>
      <c r="C16" s="197"/>
      <c r="D16" s="197"/>
    </row>
    <row r="17" spans="1:4" x14ac:dyDescent="0.2">
      <c r="A17" s="196">
        <v>14</v>
      </c>
      <c r="B17" s="198"/>
      <c r="C17" s="197"/>
      <c r="D17" s="197"/>
    </row>
    <row r="18" spans="1:4" x14ac:dyDescent="0.2">
      <c r="A18" s="196">
        <v>15</v>
      </c>
      <c r="B18" s="198"/>
      <c r="C18" s="197"/>
      <c r="D18" s="197"/>
    </row>
    <row r="19" spans="1:4" x14ac:dyDescent="0.2">
      <c r="A19" s="196">
        <v>16</v>
      </c>
      <c r="B19" s="197"/>
      <c r="C19" s="197"/>
      <c r="D19" s="197"/>
    </row>
    <row r="20" spans="1:4" x14ac:dyDescent="0.2">
      <c r="A20" s="196">
        <v>17</v>
      </c>
      <c r="B20" s="197"/>
      <c r="C20" s="197"/>
      <c r="D20" s="197"/>
    </row>
    <row r="21" spans="1:4" ht="15.75" customHeight="1" x14ac:dyDescent="0.2">
      <c r="A21" s="196">
        <v>18</v>
      </c>
      <c r="B21" s="197"/>
      <c r="C21" s="197"/>
      <c r="D21" s="197"/>
    </row>
    <row r="22" spans="1:4" ht="15.75" customHeight="1" x14ac:dyDescent="0.2">
      <c r="A22" s="196">
        <v>19</v>
      </c>
      <c r="B22" s="197"/>
      <c r="C22" s="197"/>
      <c r="D22" s="197"/>
    </row>
    <row r="23" spans="1:4" ht="15.75" customHeight="1" x14ac:dyDescent="0.2">
      <c r="A23" s="196">
        <v>20</v>
      </c>
      <c r="B23" s="197"/>
      <c r="C23" s="197"/>
      <c r="D23" s="197"/>
    </row>
    <row r="24" spans="1:4" ht="15.75" customHeight="1" x14ac:dyDescent="0.2">
      <c r="A24" s="196">
        <v>21</v>
      </c>
      <c r="B24" s="197"/>
      <c r="C24" s="197"/>
      <c r="D24" s="197"/>
    </row>
    <row r="25" spans="1:4" ht="15.75" customHeight="1" x14ac:dyDescent="0.2">
      <c r="A25" s="196">
        <v>22</v>
      </c>
      <c r="B25" s="197"/>
      <c r="C25" s="197"/>
      <c r="D25" s="197"/>
    </row>
    <row r="26" spans="1:4" ht="15.75" customHeight="1" x14ac:dyDescent="0.2">
      <c r="A26" s="196">
        <v>23</v>
      </c>
      <c r="B26" s="197"/>
      <c r="C26" s="197"/>
      <c r="D26" s="197"/>
    </row>
    <row r="27" spans="1:4" ht="15.75" customHeight="1" x14ac:dyDescent="0.2">
      <c r="A27" s="196">
        <v>24</v>
      </c>
      <c r="B27" s="197"/>
      <c r="C27" s="197"/>
      <c r="D27" s="197"/>
    </row>
    <row r="28" spans="1:4" ht="15.75" customHeight="1" x14ac:dyDescent="0.2">
      <c r="A28" s="199" t="s">
        <v>152</v>
      </c>
    </row>
    <row r="29" spans="1:4" ht="15.75" customHeight="1" x14ac:dyDescent="0.2"/>
    <row r="30" spans="1:4" ht="15.75" customHeight="1" x14ac:dyDescent="0.2"/>
    <row r="31" spans="1:4" ht="15.75" customHeight="1" x14ac:dyDescent="0.2"/>
    <row r="32" spans="1:4"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1000"/>
  <sheetViews>
    <sheetView workbookViewId="0"/>
  </sheetViews>
  <sheetFormatPr baseColWidth="10" defaultColWidth="14.5" defaultRowHeight="15" customHeight="1" x14ac:dyDescent="0.2"/>
  <cols>
    <col min="1" max="1" width="137.5" customWidth="1"/>
    <col min="2" max="26" width="8.83203125" customWidth="1"/>
  </cols>
  <sheetData>
    <row r="1" spans="1:1" ht="409.6" x14ac:dyDescent="0.2">
      <c r="A1" s="200" t="s">
        <v>153</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3:B1000"/>
  <sheetViews>
    <sheetView workbookViewId="0"/>
  </sheetViews>
  <sheetFormatPr baseColWidth="10" defaultColWidth="14.5" defaultRowHeight="15" customHeight="1" x14ac:dyDescent="0.2"/>
  <cols>
    <col min="1" max="1" width="11.5" customWidth="1"/>
    <col min="2" max="2" width="17.6640625" customWidth="1"/>
    <col min="3" max="26" width="11.5" customWidth="1"/>
  </cols>
  <sheetData>
    <row r="3" spans="1:2" x14ac:dyDescent="0.2">
      <c r="A3" s="201" t="s">
        <v>154</v>
      </c>
      <c r="B3" s="202" t="s">
        <v>155</v>
      </c>
    </row>
    <row r="4" spans="1:2" x14ac:dyDescent="0.2">
      <c r="A4" s="201" t="s">
        <v>156</v>
      </c>
      <c r="B4" s="202" t="s">
        <v>4</v>
      </c>
    </row>
    <row r="5" spans="1:2" x14ac:dyDescent="0.2">
      <c r="A5" s="201" t="s">
        <v>157</v>
      </c>
      <c r="B5" s="202" t="s">
        <v>158</v>
      </c>
    </row>
    <row r="6" spans="1:2" x14ac:dyDescent="0.2">
      <c r="A6" s="201" t="s">
        <v>159</v>
      </c>
    </row>
    <row r="7" spans="1:2" x14ac:dyDescent="0.2">
      <c r="A7" s="201" t="s">
        <v>160</v>
      </c>
    </row>
    <row r="8" spans="1:2" ht="16" x14ac:dyDescent="0.2">
      <c r="A8" s="203" t="s">
        <v>161</v>
      </c>
    </row>
    <row r="9" spans="1:2" x14ac:dyDescent="0.2">
      <c r="A9" s="201" t="s">
        <v>162</v>
      </c>
    </row>
    <row r="10" spans="1:2" x14ac:dyDescent="0.2">
      <c r="A10" s="201" t="s">
        <v>163</v>
      </c>
    </row>
    <row r="11" spans="1:2" x14ac:dyDescent="0.2">
      <c r="A11" s="201" t="s">
        <v>164</v>
      </c>
    </row>
    <row r="12" spans="1:2" x14ac:dyDescent="0.2">
      <c r="A12" s="201" t="s">
        <v>165</v>
      </c>
    </row>
    <row r="13" spans="1:2" x14ac:dyDescent="0.2">
      <c r="A13" s="201" t="s">
        <v>166</v>
      </c>
    </row>
    <row r="14" spans="1:2" x14ac:dyDescent="0.2">
      <c r="A14" s="201" t="s">
        <v>167</v>
      </c>
    </row>
    <row r="15" spans="1:2" x14ac:dyDescent="0.2">
      <c r="A15" s="201" t="s">
        <v>9</v>
      </c>
    </row>
    <row r="16" spans="1:2" x14ac:dyDescent="0.2">
      <c r="A16" s="201" t="s">
        <v>168</v>
      </c>
    </row>
    <row r="17" spans="1:1" x14ac:dyDescent="0.2">
      <c r="A17" s="201" t="s">
        <v>169</v>
      </c>
    </row>
    <row r="18" spans="1:1" x14ac:dyDescent="0.2">
      <c r="A18" s="201" t="s">
        <v>170</v>
      </c>
    </row>
    <row r="19" spans="1:1" x14ac:dyDescent="0.2">
      <c r="A19" s="201" t="s">
        <v>171</v>
      </c>
    </row>
    <row r="20" spans="1:1" x14ac:dyDescent="0.2">
      <c r="A20" s="201" t="s">
        <v>169</v>
      </c>
    </row>
    <row r="21" spans="1:1" ht="15.75" customHeight="1" x14ac:dyDescent="0.2">
      <c r="A21" s="201" t="s">
        <v>170</v>
      </c>
    </row>
    <row r="22" spans="1:1" ht="15.75" customHeight="1" x14ac:dyDescent="0.2">
      <c r="A22" s="201" t="s">
        <v>171</v>
      </c>
    </row>
    <row r="23" spans="1:1" ht="15.75" customHeight="1" x14ac:dyDescent="0.2">
      <c r="A23" s="201" t="s">
        <v>172</v>
      </c>
    </row>
    <row r="24" spans="1:1" ht="15.75" customHeight="1" x14ac:dyDescent="0.2">
      <c r="A24" s="201" t="s">
        <v>173</v>
      </c>
    </row>
    <row r="25" spans="1:1" ht="15.75" customHeight="1" x14ac:dyDescent="0.2">
      <c r="A25" s="203" t="s">
        <v>174</v>
      </c>
    </row>
    <row r="26" spans="1:1" ht="15.75" customHeight="1" x14ac:dyDescent="0.2">
      <c r="A26" s="203" t="s">
        <v>175</v>
      </c>
    </row>
    <row r="27" spans="1:1" ht="15.75" customHeight="1" x14ac:dyDescent="0.2">
      <c r="A27" s="201" t="s">
        <v>176</v>
      </c>
    </row>
    <row r="28" spans="1:1" ht="15.75" customHeight="1" x14ac:dyDescent="0.2">
      <c r="A28" s="201" t="s">
        <v>177</v>
      </c>
    </row>
    <row r="29" spans="1:1" ht="15.75" customHeight="1" x14ac:dyDescent="0.2">
      <c r="A29" s="201" t="s">
        <v>178</v>
      </c>
    </row>
    <row r="30" spans="1:1" ht="15.75" customHeight="1" x14ac:dyDescent="0.2">
      <c r="A30" s="201" t="s">
        <v>179</v>
      </c>
    </row>
    <row r="31" spans="1:1" ht="15.75" customHeight="1" x14ac:dyDescent="0.2">
      <c r="A31" s="201" t="s">
        <v>180</v>
      </c>
    </row>
    <row r="32" spans="1:1" ht="15.75" customHeight="1" x14ac:dyDescent="0.2">
      <c r="A32" s="201" t="s">
        <v>181</v>
      </c>
    </row>
    <row r="33" spans="1:1" ht="15.75" customHeight="1" x14ac:dyDescent="0.2">
      <c r="A33" s="201" t="s">
        <v>182</v>
      </c>
    </row>
    <row r="34" spans="1:1" ht="15.75" customHeight="1" x14ac:dyDescent="0.2">
      <c r="A34" s="201" t="s">
        <v>183</v>
      </c>
    </row>
    <row r="35" spans="1:1" ht="15.75" customHeight="1" x14ac:dyDescent="0.2">
      <c r="A35" s="1" t="s">
        <v>184</v>
      </c>
    </row>
    <row r="36" spans="1:1" ht="15.75" customHeight="1" x14ac:dyDescent="0.2">
      <c r="A36" s="201" t="s">
        <v>185</v>
      </c>
    </row>
    <row r="37" spans="1:1" ht="15.75" customHeight="1" x14ac:dyDescent="0.2">
      <c r="A37" s="201" t="s">
        <v>186</v>
      </c>
    </row>
    <row r="38" spans="1:1" ht="15.75" customHeight="1" x14ac:dyDescent="0.2">
      <c r="A38" s="201" t="s">
        <v>187</v>
      </c>
    </row>
    <row r="39" spans="1:1" ht="15.75" customHeight="1" x14ac:dyDescent="0.2">
      <c r="A39" s="201" t="s">
        <v>188</v>
      </c>
    </row>
    <row r="40" spans="1:1" ht="15.75" customHeight="1" x14ac:dyDescent="0.2">
      <c r="A40" s="201" t="s">
        <v>189</v>
      </c>
    </row>
    <row r="41" spans="1:1" ht="15.75" customHeight="1" x14ac:dyDescent="0.2">
      <c r="A41" s="201" t="s">
        <v>190</v>
      </c>
    </row>
    <row r="42" spans="1:1" ht="15.75" customHeight="1" x14ac:dyDescent="0.2"/>
    <row r="43" spans="1:1" ht="15.75" customHeight="1" x14ac:dyDescent="0.2"/>
    <row r="44" spans="1:1" ht="15.75" customHeight="1" x14ac:dyDescent="0.2"/>
    <row r="45" spans="1:1" ht="15.75" customHeight="1" x14ac:dyDescent="0.2"/>
    <row r="46" spans="1:1" ht="15.75" customHeight="1" x14ac:dyDescent="0.2"/>
    <row r="47" spans="1:1" ht="15.75" customHeight="1" x14ac:dyDescent="0.2"/>
    <row r="48" spans="1:1"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90-4 for R&amp;R Budget</vt:lpstr>
      <vt:lpstr>Read Me</vt:lpstr>
      <vt:lpstr>FringeTable</vt:lpstr>
      <vt:lpstr>Notice</vt:lpstr>
      <vt:lpstr>dropdowns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Chelsea Berg</dc:creator>
  <cp:lastModifiedBy>Tristy Vick-Majors</cp:lastModifiedBy>
  <dcterms:created xsi:type="dcterms:W3CDTF">2024-09-26T15:36:28Z</dcterms:created>
  <dcterms:modified xsi:type="dcterms:W3CDTF">2025-07-29T15:40:36Z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0x0101009BE9784123A5734B876F6F0DE8067369</vt:lpwstr>
  </property>
</Properties>
</file>